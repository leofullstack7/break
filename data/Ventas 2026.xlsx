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  <sheet state="visible" name="Febrero" sheetId="2" r:id="rId6"/>
    <sheet state="visible" name="Marzo" sheetId="3" r:id="rId7"/>
    <sheet state="visible" name="abril" sheetId="4" r:id="rId8"/>
    <sheet state="visible" name="Mayo" sheetId="5" r:id="rId9"/>
  </sheets>
  <definedNames/>
  <calcPr/>
</workbook>
</file>

<file path=xl/sharedStrings.xml><?xml version="1.0" encoding="utf-8"?>
<sst xmlns="http://schemas.openxmlformats.org/spreadsheetml/2006/main" count="126" uniqueCount="48">
  <si>
    <t>Break Informe Enero 2026</t>
  </si>
  <si>
    <t>N.A.</t>
  </si>
  <si>
    <t>TOTAL</t>
  </si>
  <si>
    <t>Noches Ocupadas</t>
  </si>
  <si>
    <t>% De Ocupacion x Apto</t>
  </si>
  <si>
    <t>% de Ocupacion Total</t>
  </si>
  <si>
    <t>Total Noches Disponibles</t>
  </si>
  <si>
    <t>Total de Noches Ocupadas</t>
  </si>
  <si>
    <t>Check/out Late</t>
  </si>
  <si>
    <t>Noches Adicionales</t>
  </si>
  <si>
    <t>Total Dinero Recaudado</t>
  </si>
  <si>
    <t>Aribnb Real</t>
  </si>
  <si>
    <t>Aseo</t>
  </si>
  <si>
    <t>Break Real</t>
  </si>
  <si>
    <t>Operador Real</t>
  </si>
  <si>
    <t>Gastos</t>
  </si>
  <si>
    <t>Break Total</t>
  </si>
  <si>
    <t>Break Total - Gastos</t>
  </si>
  <si>
    <t>Aribnb</t>
  </si>
  <si>
    <t>Terceros</t>
  </si>
  <si>
    <t>Booking</t>
  </si>
  <si>
    <t>Break Informe Febrero 2026</t>
  </si>
  <si>
    <t>Alejandro 1-13 feb</t>
  </si>
  <si>
    <t>*11%</t>
  </si>
  <si>
    <t>Aseos 1-13</t>
  </si>
  <si>
    <t>1-13 + aseos</t>
  </si>
  <si>
    <t>Alejandro 14-28 feb</t>
  </si>
  <si>
    <t>Alexander</t>
  </si>
  <si>
    <t>alejandro 1-13 real</t>
  </si>
  <si>
    <t>Break Informe Marzo 2026</t>
  </si>
  <si>
    <t>Alexander real</t>
  </si>
  <si>
    <t>Alojamiento</t>
  </si>
  <si>
    <t>Nosotros</t>
  </si>
  <si>
    <t>Break Informe abril 2026</t>
  </si>
  <si>
    <t>31/4/26</t>
  </si>
  <si>
    <t>Aribnb Real alejandro</t>
  </si>
  <si>
    <t>airbnb real nosotros</t>
  </si>
  <si>
    <t xml:space="preserve">booking </t>
  </si>
  <si>
    <t>Aribnb alejandro</t>
  </si>
  <si>
    <t>Aribnb propias</t>
  </si>
  <si>
    <t>pagina web</t>
  </si>
  <si>
    <t>Break Informe mayo 2026</t>
  </si>
  <si>
    <t>comisiones</t>
  </si>
  <si>
    <t>totales recaudado cu</t>
  </si>
  <si>
    <t>booking</t>
  </si>
  <si>
    <t>expedia</t>
  </si>
  <si>
    <t>alejandro</t>
  </si>
  <si>
    <t>Break whatsapp 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</si>
</sst>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"/>
    <numFmt numFmtId="165" formatCode="[$ $]#,##0"/>
  </numFmts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i/>
      <color theme="1"/>
      <name val="Arial"/>
      <scheme val="minor"/>
    </font>
    <font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4" fillId="2" fontId="3" numFmtId="0" xfId="0" applyAlignment="1" applyBorder="1" applyFont="1">
      <alignment horizontal="center" readingOrder="0"/>
    </xf>
    <xf borderId="4" fillId="3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/>
    </xf>
    <xf borderId="4" fillId="2" fontId="3" numFmtId="164" xfId="0" applyAlignment="1" applyBorder="1" applyFont="1" applyNumberFormat="1">
      <alignment horizontal="center" readingOrder="0"/>
    </xf>
    <xf borderId="0" fillId="4" fontId="1" numFmtId="0" xfId="0" applyAlignment="1" applyFill="1" applyFont="1">
      <alignment horizontal="center"/>
    </xf>
    <xf borderId="4" fillId="5" fontId="1" numFmtId="165" xfId="0" applyAlignment="1" applyBorder="1" applyFill="1" applyFont="1" applyNumberFormat="1">
      <alignment horizontal="center" readingOrder="0" shrinkToFit="0" wrapText="0"/>
    </xf>
    <xf borderId="4" fillId="5" fontId="1" numFmtId="0" xfId="0" applyAlignment="1" applyBorder="1" applyFont="1">
      <alignment horizontal="center"/>
    </xf>
    <xf borderId="4" fillId="5" fontId="1" numFmtId="0" xfId="0" applyAlignment="1" applyBorder="1" applyFont="1">
      <alignment horizontal="center" readingOrder="0"/>
    </xf>
    <xf borderId="4" fillId="6" fontId="1" numFmtId="165" xfId="0" applyAlignment="1" applyBorder="1" applyFill="1" applyFont="1" applyNumberFormat="1">
      <alignment horizontal="center" readingOrder="0" shrinkToFit="0" wrapText="0"/>
    </xf>
    <xf borderId="4" fillId="5" fontId="1" numFmtId="3" xfId="0" applyAlignment="1" applyBorder="1" applyFont="1" applyNumberFormat="1">
      <alignment horizontal="center" readingOrder="0"/>
    </xf>
    <xf borderId="4" fillId="6" fontId="1" numFmtId="0" xfId="0" applyAlignment="1" applyBorder="1" applyFont="1">
      <alignment horizontal="center"/>
    </xf>
    <xf borderId="4" fillId="7" fontId="1" numFmtId="165" xfId="0" applyAlignment="1" applyBorder="1" applyFill="1" applyFont="1" applyNumberFormat="1">
      <alignment horizontal="center" readingOrder="0" shrinkToFit="0" wrapText="0"/>
    </xf>
    <xf borderId="4" fillId="8" fontId="1" numFmtId="165" xfId="0" applyAlignment="1" applyBorder="1" applyFill="1" applyFont="1" applyNumberFormat="1">
      <alignment horizontal="center" readingOrder="0" shrinkToFit="0" wrapText="0"/>
    </xf>
    <xf borderId="0" fillId="5" fontId="1" numFmtId="0" xfId="0" applyAlignment="1" applyFont="1">
      <alignment horizontal="center" readingOrder="0"/>
    </xf>
    <xf borderId="4" fillId="7" fontId="1" numFmtId="0" xfId="0" applyAlignment="1" applyBorder="1" applyFont="1">
      <alignment horizontal="center"/>
    </xf>
    <xf borderId="4" fillId="2" fontId="3" numFmtId="165" xfId="0" applyAlignment="1" applyBorder="1" applyFont="1" applyNumberFormat="1">
      <alignment horizontal="center"/>
    </xf>
    <xf borderId="4" fillId="3" fontId="3" numFmtId="1" xfId="0" applyAlignment="1" applyBorder="1" applyFont="1" applyNumberFormat="1">
      <alignment horizontal="center" readingOrder="0"/>
    </xf>
    <xf borderId="4" fillId="3" fontId="1" numFmtId="1" xfId="0" applyAlignment="1" applyBorder="1" applyFont="1" applyNumberFormat="1">
      <alignment horizontal="center" readingOrder="0"/>
    </xf>
    <xf borderId="4" fillId="9" fontId="3" numFmtId="0" xfId="0" applyAlignment="1" applyBorder="1" applyFill="1" applyFont="1">
      <alignment horizontal="center" readingOrder="0"/>
    </xf>
    <xf borderId="4" fillId="9" fontId="1" numFmtId="10" xfId="0" applyAlignment="1" applyBorder="1" applyFont="1" applyNumberFormat="1">
      <alignment horizontal="center"/>
    </xf>
    <xf borderId="4" fillId="0" fontId="1" numFmtId="10" xfId="0" applyAlignment="1" applyBorder="1" applyFont="1" applyNumberFormat="1">
      <alignment horizontal="center"/>
    </xf>
    <xf borderId="4" fillId="4" fontId="3" numFmtId="0" xfId="0" applyAlignment="1" applyBorder="1" applyFont="1">
      <alignment horizontal="center" readingOrder="0"/>
    </xf>
    <xf borderId="4" fillId="4" fontId="4" numFmtId="10" xfId="0" applyAlignment="1" applyBorder="1" applyFont="1" applyNumberFormat="1">
      <alignment horizontal="center"/>
    </xf>
    <xf borderId="4" fillId="9" fontId="4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4" fillId="0" fontId="4" numFmtId="1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 shrinkToFit="0" wrapText="0"/>
    </xf>
    <xf borderId="4" fillId="9" fontId="4" numFmtId="165" xfId="0" applyAlignment="1" applyBorder="1" applyFont="1" applyNumberFormat="1">
      <alignment horizontal="center"/>
    </xf>
    <xf borderId="4" fillId="0" fontId="4" numFmtId="165" xfId="0" applyAlignment="1" applyBorder="1" applyFont="1" applyNumberFormat="1">
      <alignment horizontal="center"/>
    </xf>
    <xf borderId="4" fillId="10" fontId="1" numFmtId="0" xfId="0" applyAlignment="1" applyBorder="1" applyFill="1" applyFont="1">
      <alignment horizontal="center" readingOrder="0"/>
    </xf>
    <xf borderId="4" fillId="10" fontId="1" numFmtId="165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6" fontId="1" numFmtId="0" xfId="0" applyAlignment="1" applyFont="1">
      <alignment horizontal="center" readingOrder="0"/>
    </xf>
    <xf borderId="0" fillId="8" fontId="1" numFmtId="0" xfId="0" applyAlignment="1" applyFont="1">
      <alignment horizontal="center" readingOrder="0"/>
    </xf>
    <xf borderId="5" fillId="3" fontId="3" numFmtId="0" xfId="0" applyAlignment="1" applyBorder="1" applyFont="1">
      <alignment horizontal="center" readingOrder="0"/>
    </xf>
    <xf borderId="1" fillId="2" fontId="3" numFmtId="164" xfId="0" applyAlignment="1" applyBorder="1" applyFont="1" applyNumberFormat="1">
      <alignment horizontal="center" readingOrder="0"/>
    </xf>
    <xf borderId="4" fillId="6" fontId="1" numFmtId="165" xfId="0" applyAlignment="1" applyBorder="1" applyFont="1" applyNumberFormat="1">
      <alignment horizontal="center" readingOrder="0"/>
    </xf>
    <xf borderId="0" fillId="4" fontId="1" numFmtId="165" xfId="0" applyAlignment="1" applyFont="1" applyNumberFormat="1">
      <alignment horizontal="center" readingOrder="0" shrinkToFit="0" wrapText="0"/>
    </xf>
    <xf borderId="0" fillId="4" fontId="1" numFmtId="0" xfId="0" applyAlignment="1" applyFont="1">
      <alignment horizontal="center" readingOrder="0"/>
    </xf>
    <xf borderId="0" fillId="4" fontId="1" numFmtId="3" xfId="0" applyAlignment="1" applyFont="1" applyNumberFormat="1">
      <alignment horizontal="center" readingOrder="0"/>
    </xf>
    <xf borderId="4" fillId="11" fontId="1" numFmtId="165" xfId="0" applyAlignment="1" applyBorder="1" applyFill="1" applyFont="1" applyNumberFormat="1">
      <alignment horizontal="center" readingOrder="0" shrinkToFit="0" wrapText="0"/>
    </xf>
    <xf borderId="4" fillId="11" fontId="1" numFmtId="0" xfId="0" applyAlignment="1" applyBorder="1" applyFont="1">
      <alignment horizontal="center"/>
    </xf>
    <xf borderId="4" fillId="9" fontId="4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horizontal="center"/>
    </xf>
    <xf borderId="4" fillId="0" fontId="1" numFmtId="0" xfId="0" applyAlignment="1" applyBorder="1" applyFont="1">
      <alignment horizontal="center"/>
    </xf>
    <xf borderId="4" fillId="10" fontId="3" numFmtId="165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 readingOrder="0"/>
    </xf>
    <xf borderId="4" fillId="0" fontId="1" numFmtId="165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readingOrder="0"/>
    </xf>
    <xf borderId="4" fillId="0" fontId="1" numFmtId="165" xfId="0" applyBorder="1" applyFont="1" applyNumberFormat="1"/>
    <xf borderId="4" fillId="10" fontId="1" numFmtId="165" xfId="0" applyAlignment="1" applyBorder="1" applyFont="1" applyNumberFormat="1">
      <alignment horizontal="center" readingOrder="0"/>
    </xf>
    <xf borderId="4" fillId="11" fontId="1" numFmtId="0" xfId="0" applyAlignment="1" applyBorder="1" applyFont="1">
      <alignment horizontal="center" readingOrder="0"/>
    </xf>
    <xf borderId="4" fillId="11" fontId="1" numFmtId="165" xfId="0" applyAlignment="1" applyBorder="1" applyFont="1" applyNumberFormat="1">
      <alignment horizontal="center" readingOrder="0"/>
    </xf>
    <xf borderId="0" fillId="4" fontId="1" numFmtId="165" xfId="0" applyAlignment="1" applyFont="1" applyNumberFormat="1">
      <alignment horizontal="center" readingOrder="0"/>
    </xf>
    <xf borderId="0" fillId="4" fontId="1" numFmtId="165" xfId="0" applyAlignment="1" applyFont="1" applyNumberFormat="1">
      <alignment horizontal="center"/>
    </xf>
    <xf borderId="0" fillId="11" fontId="1" numFmtId="165" xfId="0" applyAlignment="1" applyFont="1" applyNumberFormat="1">
      <alignment horizontal="center" readingOrder="0" shrinkToFit="0" wrapText="0"/>
    </xf>
    <xf borderId="0" fillId="4" fontId="1" numFmtId="0" xfId="0" applyFont="1"/>
    <xf borderId="0" fillId="4" fontId="3" numFmtId="0" xfId="0" applyAlignment="1" applyFont="1">
      <alignment horizontal="center" readingOrder="0"/>
    </xf>
    <xf borderId="0" fillId="4" fontId="3" numFmtId="165" xfId="0" applyAlignment="1" applyFont="1" applyNumberFormat="1">
      <alignment horizontal="center"/>
    </xf>
    <xf borderId="0" fillId="4" fontId="3" numFmtId="0" xfId="0" applyAlignment="1" applyFont="1">
      <alignment horizontal="center"/>
    </xf>
    <xf borderId="4" fillId="12" fontId="1" numFmtId="165" xfId="0" applyAlignment="1" applyBorder="1" applyFill="1" applyFont="1" applyNumberFormat="1">
      <alignment horizontal="center" readingOrder="0" shrinkToFit="0" wrapText="0"/>
    </xf>
    <xf borderId="4" fillId="8" fontId="1" numFmtId="0" xfId="0" applyAlignment="1" applyBorder="1" applyFont="1">
      <alignment horizontal="center"/>
    </xf>
    <xf borderId="4" fillId="13" fontId="1" numFmtId="165" xfId="0" applyAlignment="1" applyBorder="1" applyFill="1" applyFont="1" applyNumberFormat="1">
      <alignment horizontal="center" readingOrder="0" shrinkToFit="0" wrapText="0"/>
    </xf>
    <xf borderId="6" fillId="2" fontId="3" numFmtId="165" xfId="0" applyAlignment="1" applyBorder="1" applyFont="1" applyNumberFormat="1">
      <alignment horizontal="center"/>
    </xf>
    <xf borderId="4" fillId="2" fontId="3" numFmtId="1" xfId="0" applyAlignment="1" applyBorder="1" applyFont="1" applyNumberFormat="1">
      <alignment horizontal="center"/>
    </xf>
    <xf borderId="4" fillId="9" fontId="4" numFmtId="165" xfId="0" applyAlignment="1" applyBorder="1" applyFont="1" applyNumberFormat="1">
      <alignment horizontal="center" readingOrder="0"/>
    </xf>
    <xf borderId="0" fillId="12" fontId="1" numFmtId="0" xfId="0" applyAlignment="1" applyFont="1">
      <alignment horizontal="center" readingOrder="0"/>
    </xf>
    <xf borderId="0" fillId="13" fontId="1" numFmtId="0" xfId="0" applyAlignment="1" applyFont="1">
      <alignment horizontal="center" readingOrder="0"/>
    </xf>
    <xf borderId="0" fillId="11" fontId="1" numFmtId="0" xfId="0" applyAlignment="1" applyFont="1">
      <alignment horizontal="center" readingOrder="0"/>
    </xf>
    <xf borderId="4" fillId="14" fontId="1" numFmtId="165" xfId="0" applyAlignment="1" applyBorder="1" applyFill="1" applyFont="1" applyNumberFormat="1">
      <alignment horizontal="center" readingOrder="0" shrinkToFit="0" wrapText="0"/>
    </xf>
    <xf borderId="4" fillId="15" fontId="1" numFmtId="165" xfId="0" applyAlignment="1" applyBorder="1" applyFill="1" applyFont="1" applyNumberFormat="1">
      <alignment horizontal="center" readingOrder="0" shrinkToFit="0" wrapText="0"/>
    </xf>
    <xf borderId="4" fillId="0" fontId="4" numFmtId="165" xfId="0" applyAlignment="1" applyBorder="1" applyFont="1" applyNumberFormat="1">
      <alignment horizontal="center" readingOrder="0"/>
    </xf>
    <xf borderId="0" fillId="14" fontId="1" numFmtId="0" xfId="0" applyAlignment="1" applyFont="1">
      <alignment horizontal="center" readingOrder="0"/>
    </xf>
    <xf borderId="0" fillId="15" fontId="1" numFmtId="0" xfId="0" applyAlignment="1" applyFont="1">
      <alignment horizontal="center" readingOrder="0"/>
    </xf>
    <xf borderId="4" fillId="16" fontId="1" numFmtId="165" xfId="0" applyAlignment="1" applyBorder="1" applyFill="1" applyFont="1" applyNumberFormat="1">
      <alignment horizontal="center" readingOrder="0" shrinkToFit="0" wrapText="0"/>
    </xf>
    <xf borderId="0" fillId="16" fontId="1" numFmtId="0" xfId="0" applyFont="1"/>
    <xf borderId="0" fillId="13" fontId="1" numFmtId="0" xfId="0" applyFont="1"/>
    <xf borderId="0" fillId="7" fontId="5" numFmtId="165" xfId="0" applyAlignment="1" applyFont="1" applyNumberFormat="1">
      <alignment horizontal="center" shrinkToFit="0" vertical="bottom" wrapText="0"/>
    </xf>
    <xf borderId="4" fillId="8" fontId="5" numFmtId="165" xfId="0" applyAlignment="1" applyBorder="1" applyFont="1" applyNumberFormat="1">
      <alignment vertical="bottom"/>
    </xf>
    <xf borderId="4" fillId="8" fontId="5" numFmtId="165" xfId="0" applyAlignment="1" applyBorder="1" applyFont="1" applyNumberFormat="1">
      <alignment horizontal="center" vertical="bottom"/>
    </xf>
    <xf borderId="4" fillId="0" fontId="4" numFmtId="0" xfId="0" applyAlignment="1" applyBorder="1" applyFont="1">
      <alignment horizontal="center" readingOrder="0"/>
    </xf>
    <xf borderId="1" fillId="9" fontId="3" numFmtId="0" xfId="0" applyAlignment="1" applyBorder="1" applyFont="1">
      <alignment horizontal="center" readingOrder="0"/>
    </xf>
    <xf borderId="0" fillId="16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3" max="3" width="11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4"/>
    </row>
    <row r="2">
      <c r="A2" s="5"/>
      <c r="B2" s="6">
        <v>105.0</v>
      </c>
      <c r="C2" s="6">
        <v>106.0</v>
      </c>
      <c r="D2" s="6">
        <v>107.0</v>
      </c>
      <c r="E2" s="6">
        <v>201.0</v>
      </c>
      <c r="F2" s="6">
        <v>202.0</v>
      </c>
      <c r="G2" s="6">
        <v>203.0</v>
      </c>
      <c r="H2" s="6">
        <v>204.0</v>
      </c>
      <c r="I2" s="6">
        <v>205.0</v>
      </c>
      <c r="J2" s="6">
        <v>206.0</v>
      </c>
      <c r="K2" s="6">
        <v>207.0</v>
      </c>
      <c r="L2" s="6">
        <v>301.0</v>
      </c>
      <c r="M2" s="6">
        <v>302.0</v>
      </c>
      <c r="N2" s="6">
        <v>303.0</v>
      </c>
      <c r="O2" s="6">
        <v>304.0</v>
      </c>
      <c r="P2" s="6">
        <v>305.0</v>
      </c>
      <c r="Q2" s="6">
        <v>306.0</v>
      </c>
      <c r="R2" s="6">
        <v>307.0</v>
      </c>
      <c r="S2" s="6">
        <v>401.0</v>
      </c>
      <c r="T2" s="6">
        <v>402.0</v>
      </c>
      <c r="U2" s="6">
        <v>403.0</v>
      </c>
      <c r="V2" s="6">
        <v>404.0</v>
      </c>
      <c r="W2" s="6">
        <v>405.0</v>
      </c>
      <c r="X2" s="6">
        <v>406.0</v>
      </c>
      <c r="Y2" s="6">
        <v>407.0</v>
      </c>
      <c r="Z2" s="7"/>
    </row>
    <row r="3">
      <c r="A3" s="8">
        <v>46023.0</v>
      </c>
      <c r="B3" s="4"/>
      <c r="C3" s="4"/>
      <c r="D3" s="4"/>
      <c r="E3" s="4"/>
      <c r="F3" s="4"/>
      <c r="G3" s="9"/>
      <c r="H3" s="4"/>
      <c r="I3" s="9"/>
      <c r="J3" s="9"/>
      <c r="K3" s="4"/>
      <c r="L3" s="4"/>
      <c r="M3" s="4"/>
      <c r="N3" s="4"/>
      <c r="O3" s="4"/>
      <c r="P3" s="4"/>
      <c r="Q3" s="4"/>
      <c r="R3" s="4"/>
      <c r="S3" s="10">
        <v>354827.0</v>
      </c>
      <c r="T3" s="4"/>
      <c r="U3" s="4"/>
      <c r="V3" s="4"/>
      <c r="W3" s="4"/>
      <c r="X3" s="10">
        <v>637070.0</v>
      </c>
      <c r="Y3" s="4"/>
      <c r="Z3" s="4"/>
    </row>
    <row r="4">
      <c r="A4" s="8">
        <v>46024.0</v>
      </c>
      <c r="B4" s="4"/>
      <c r="C4" s="4"/>
      <c r="D4" s="4"/>
      <c r="E4" s="4"/>
      <c r="F4" s="10">
        <v>664280.0</v>
      </c>
      <c r="G4" s="9"/>
      <c r="H4" s="4"/>
      <c r="I4" s="9"/>
      <c r="J4" s="9"/>
      <c r="K4" s="4"/>
      <c r="L4" s="10">
        <v>603619.0</v>
      </c>
      <c r="M4" s="4"/>
      <c r="N4" s="4"/>
      <c r="O4" s="4"/>
      <c r="P4" s="10">
        <v>1001288.0</v>
      </c>
      <c r="Q4" s="10">
        <v>585494.0</v>
      </c>
      <c r="R4" s="4"/>
      <c r="S4" s="11"/>
      <c r="T4" s="10">
        <v>898628.0</v>
      </c>
      <c r="U4" s="4"/>
      <c r="V4" s="4"/>
      <c r="W4" s="4"/>
      <c r="X4" s="11"/>
      <c r="Y4" s="4"/>
      <c r="Z4" s="4"/>
    </row>
    <row r="5">
      <c r="A5" s="8">
        <v>46025.0</v>
      </c>
      <c r="B5" s="4"/>
      <c r="C5" s="4"/>
      <c r="D5" s="4"/>
      <c r="E5" s="10">
        <v>404188.0</v>
      </c>
      <c r="F5" s="11"/>
      <c r="G5" s="9"/>
      <c r="H5" s="4"/>
      <c r="I5" s="9"/>
      <c r="J5" s="9"/>
      <c r="K5" s="4"/>
      <c r="L5" s="11"/>
      <c r="M5" s="10">
        <v>667056.0</v>
      </c>
      <c r="N5" s="4"/>
      <c r="O5" s="4"/>
      <c r="P5" s="11"/>
      <c r="Q5" s="11"/>
      <c r="R5" s="4"/>
      <c r="S5" s="12" t="s">
        <v>1</v>
      </c>
      <c r="T5" s="11"/>
      <c r="U5" s="4"/>
      <c r="V5" s="4"/>
      <c r="W5" s="13">
        <v>700000.0</v>
      </c>
      <c r="X5" s="11"/>
      <c r="Y5" s="4"/>
      <c r="Z5" s="4"/>
    </row>
    <row r="6">
      <c r="A6" s="8">
        <v>46026.0</v>
      </c>
      <c r="B6" s="4"/>
      <c r="C6" s="4"/>
      <c r="D6" s="4"/>
      <c r="E6" s="11"/>
      <c r="F6" s="11"/>
      <c r="G6" s="9"/>
      <c r="H6" s="4"/>
      <c r="I6" s="9"/>
      <c r="J6" s="10">
        <v>644539.0</v>
      </c>
      <c r="K6" s="4"/>
      <c r="L6" s="12" t="s">
        <v>1</v>
      </c>
      <c r="M6" s="11"/>
      <c r="N6" s="10">
        <v>160000.0</v>
      </c>
      <c r="O6" s="4"/>
      <c r="P6" s="11"/>
      <c r="Q6" s="4"/>
      <c r="R6" s="4"/>
      <c r="S6" s="4"/>
      <c r="T6" s="4"/>
      <c r="U6" s="4"/>
      <c r="V6" s="4"/>
      <c r="W6" s="13"/>
      <c r="X6" s="4"/>
      <c r="Y6" s="4"/>
      <c r="Z6" s="4"/>
    </row>
    <row r="7">
      <c r="A7" s="8">
        <v>46027.0</v>
      </c>
      <c r="B7" s="4"/>
      <c r="C7" s="4"/>
      <c r="D7" s="4"/>
      <c r="E7" s="4"/>
      <c r="F7" s="4"/>
      <c r="G7" s="9"/>
      <c r="H7" s="4"/>
      <c r="I7" s="9"/>
      <c r="J7" s="1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0">
        <v>1739569.0</v>
      </c>
      <c r="X7" s="4"/>
      <c r="Y7" s="4"/>
      <c r="Z7" s="4"/>
    </row>
    <row r="8">
      <c r="A8" s="8">
        <v>46028.0</v>
      </c>
      <c r="B8" s="4"/>
      <c r="C8" s="4"/>
      <c r="D8" s="4"/>
      <c r="E8" s="4"/>
      <c r="F8" s="4"/>
      <c r="G8" s="10">
        <v>160000.0</v>
      </c>
      <c r="H8" s="10">
        <v>200000.0</v>
      </c>
      <c r="I8" s="10">
        <v>303200.0</v>
      </c>
      <c r="J8" s="9"/>
      <c r="K8" s="10">
        <v>420000.0</v>
      </c>
      <c r="L8" s="4"/>
      <c r="M8" s="4"/>
      <c r="N8" s="10">
        <v>180000.0</v>
      </c>
      <c r="O8" s="10">
        <v>220000.0</v>
      </c>
      <c r="P8" s="10">
        <v>338600.0</v>
      </c>
      <c r="Q8" s="4"/>
      <c r="R8" s="10">
        <v>200000.0</v>
      </c>
      <c r="S8" s="4"/>
      <c r="T8" s="4"/>
      <c r="U8" s="10">
        <v>420000.0</v>
      </c>
      <c r="V8" s="4"/>
      <c r="W8" s="11"/>
      <c r="X8" s="4"/>
      <c r="Y8" s="4"/>
      <c r="Z8" s="4"/>
    </row>
    <row r="9">
      <c r="A9" s="8">
        <v>46029.0</v>
      </c>
      <c r="B9" s="10">
        <v>2811200.0</v>
      </c>
      <c r="C9" s="10">
        <v>2780000.0</v>
      </c>
      <c r="D9" s="4"/>
      <c r="E9" s="4"/>
      <c r="F9" s="4"/>
      <c r="G9" s="10">
        <v>450000.0</v>
      </c>
      <c r="H9" s="12" t="s">
        <v>1</v>
      </c>
      <c r="I9" s="9"/>
      <c r="J9" s="9"/>
      <c r="K9" s="11"/>
      <c r="L9" s="4"/>
      <c r="M9" s="10">
        <v>548640.0</v>
      </c>
      <c r="N9" s="10">
        <v>225000.0</v>
      </c>
      <c r="O9" s="10">
        <v>220000.0</v>
      </c>
      <c r="P9" s="10">
        <v>1795664.0</v>
      </c>
      <c r="Q9" s="4"/>
      <c r="R9" s="4"/>
      <c r="S9" s="4"/>
      <c r="T9" s="4"/>
      <c r="U9" s="11"/>
      <c r="V9" s="10">
        <v>1509243.0</v>
      </c>
      <c r="W9" s="11"/>
      <c r="X9" s="10">
        <v>1278064.0</v>
      </c>
      <c r="Y9" s="10">
        <v>420000.0</v>
      </c>
      <c r="Z9" s="4"/>
    </row>
    <row r="10">
      <c r="A10" s="8">
        <v>46030.0</v>
      </c>
      <c r="B10" s="11"/>
      <c r="C10" s="11"/>
      <c r="D10" s="13">
        <v>1050000.0</v>
      </c>
      <c r="E10" s="10">
        <v>1457900.0</v>
      </c>
      <c r="F10" s="10">
        <v>256000.0</v>
      </c>
      <c r="G10" s="10"/>
      <c r="H10" s="13">
        <v>1050000.0</v>
      </c>
      <c r="I10" s="10">
        <v>352849.0</v>
      </c>
      <c r="J10" s="9"/>
      <c r="K10" s="14">
        <v>258950.0</v>
      </c>
      <c r="L10" s="10">
        <v>571122.0</v>
      </c>
      <c r="M10" s="11"/>
      <c r="N10" s="10">
        <v>225000.0</v>
      </c>
      <c r="O10" s="10">
        <v>245000.0</v>
      </c>
      <c r="P10" s="11"/>
      <c r="Q10" s="10">
        <v>245427.0</v>
      </c>
      <c r="R10" s="13">
        <v>225000.0</v>
      </c>
      <c r="S10" s="10">
        <v>2087360.0</v>
      </c>
      <c r="T10" s="4"/>
      <c r="U10" s="10">
        <v>220000.0</v>
      </c>
      <c r="V10" s="11"/>
      <c r="W10" s="11"/>
      <c r="X10" s="11"/>
      <c r="Y10" s="11"/>
      <c r="Z10" s="4"/>
    </row>
    <row r="11">
      <c r="A11" s="8">
        <v>46031.0</v>
      </c>
      <c r="B11" s="10">
        <v>500000.0</v>
      </c>
      <c r="C11" s="11"/>
      <c r="D11" s="15"/>
      <c r="E11" s="11"/>
      <c r="F11" s="10">
        <v>1394464.0</v>
      </c>
      <c r="G11" s="10">
        <v>779200.0</v>
      </c>
      <c r="H11" s="15"/>
      <c r="I11" s="10">
        <v>1512464.0</v>
      </c>
      <c r="J11" s="10">
        <v>1025076.0</v>
      </c>
      <c r="K11" s="10">
        <v>820000.0</v>
      </c>
      <c r="L11" s="11"/>
      <c r="M11" s="10">
        <v>918688.0</v>
      </c>
      <c r="N11" s="10">
        <v>827200.0</v>
      </c>
      <c r="O11" s="10">
        <v>596000.0</v>
      </c>
      <c r="P11" s="11"/>
      <c r="Q11" s="10">
        <v>1651232.0</v>
      </c>
      <c r="R11" s="10">
        <v>1039520.0</v>
      </c>
      <c r="S11" s="11"/>
      <c r="T11" s="10">
        <v>1053680.0</v>
      </c>
      <c r="U11" s="10">
        <v>980000.0</v>
      </c>
      <c r="V11" s="11"/>
      <c r="W11" s="11"/>
      <c r="X11" s="11"/>
      <c r="Y11" s="10">
        <v>208806.0</v>
      </c>
      <c r="Z11" s="4"/>
    </row>
    <row r="12">
      <c r="A12" s="8">
        <v>46032.0</v>
      </c>
      <c r="B12" s="10">
        <v>1172000.0</v>
      </c>
      <c r="C12" s="11"/>
      <c r="D12" s="15"/>
      <c r="E12" s="11"/>
      <c r="F12" s="11"/>
      <c r="G12" s="10"/>
      <c r="H12" s="15"/>
      <c r="I12" s="11"/>
      <c r="J12" s="11"/>
      <c r="K12" s="11"/>
      <c r="L12" s="10">
        <v>1062176.0</v>
      </c>
      <c r="M12" s="11"/>
      <c r="N12" s="11"/>
      <c r="O12" s="10">
        <v>529760.0</v>
      </c>
      <c r="P12" s="11"/>
      <c r="Q12" s="11"/>
      <c r="R12" s="11"/>
      <c r="S12" s="11"/>
      <c r="T12" s="11"/>
      <c r="U12" s="11"/>
      <c r="V12" s="16">
        <v>373235.0</v>
      </c>
      <c r="W12" s="10">
        <v>926240.0</v>
      </c>
      <c r="X12" s="10">
        <v>1152800.0</v>
      </c>
      <c r="Y12" s="10">
        <v>334685.0</v>
      </c>
      <c r="Z12" s="4"/>
    </row>
    <row r="13">
      <c r="A13" s="8">
        <v>46033.0</v>
      </c>
      <c r="B13" s="11"/>
      <c r="C13" s="11"/>
      <c r="D13" s="10">
        <v>189920.0</v>
      </c>
      <c r="E13" s="10">
        <v>402320.0</v>
      </c>
      <c r="F13" s="11"/>
      <c r="G13" s="10">
        <v>169920.0</v>
      </c>
      <c r="H13" s="10">
        <v>223904.0</v>
      </c>
      <c r="I13" s="11"/>
      <c r="J13" s="9"/>
      <c r="K13" s="4"/>
      <c r="L13" s="11"/>
      <c r="M13" s="4"/>
      <c r="N13" s="17">
        <v>148000.0</v>
      </c>
      <c r="O13" s="10">
        <v>359840.0</v>
      </c>
      <c r="P13" s="4"/>
      <c r="Q13" s="11"/>
      <c r="R13" s="13">
        <v>160000.0</v>
      </c>
      <c r="S13" s="11"/>
      <c r="T13" s="4"/>
      <c r="U13" s="17">
        <v>148000.0</v>
      </c>
      <c r="V13" s="10">
        <v>189920.0</v>
      </c>
      <c r="W13" s="11"/>
      <c r="X13" s="11"/>
      <c r="Y13" s="10">
        <v>171040.0</v>
      </c>
      <c r="Z13" s="4"/>
    </row>
    <row r="14">
      <c r="A14" s="8">
        <v>46034.0</v>
      </c>
      <c r="B14" s="4"/>
      <c r="C14" s="4"/>
      <c r="D14" s="10">
        <v>151040.0</v>
      </c>
      <c r="E14" s="11"/>
      <c r="F14" s="4"/>
      <c r="G14" s="10">
        <v>169920.0</v>
      </c>
      <c r="H14" s="13">
        <v>150000.0</v>
      </c>
      <c r="I14" s="9"/>
      <c r="J14" s="9"/>
      <c r="K14" s="4"/>
      <c r="L14" s="4"/>
      <c r="M14" s="4"/>
      <c r="N14" s="10">
        <v>169920.0</v>
      </c>
      <c r="O14" s="11"/>
      <c r="P14" s="4"/>
      <c r="Q14" s="4"/>
      <c r="R14" s="4"/>
      <c r="S14" s="4"/>
      <c r="T14" s="4"/>
      <c r="U14" s="10">
        <v>169920.0</v>
      </c>
      <c r="V14" s="4"/>
      <c r="W14" s="4"/>
      <c r="X14" s="4"/>
      <c r="Y14" s="9"/>
      <c r="Z14" s="4"/>
    </row>
    <row r="15">
      <c r="A15" s="8">
        <v>46035.0</v>
      </c>
      <c r="B15" s="4"/>
      <c r="C15" s="4"/>
      <c r="D15" s="4"/>
      <c r="E15" s="4"/>
      <c r="F15" s="4"/>
      <c r="G15" s="9"/>
      <c r="H15" s="4"/>
      <c r="I15" s="9"/>
      <c r="J15" s="9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v>46036.0</v>
      </c>
      <c r="B16" s="4"/>
      <c r="C16" s="10">
        <v>359840.0</v>
      </c>
      <c r="D16" s="4"/>
      <c r="E16" s="4"/>
      <c r="F16" s="4"/>
      <c r="G16" s="9"/>
      <c r="H16" s="4"/>
      <c r="I16" s="9"/>
      <c r="J16" s="9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10">
        <v>246560.0</v>
      </c>
      <c r="W16" s="4"/>
      <c r="X16" s="4"/>
      <c r="Y16" s="4"/>
      <c r="Z16" s="4"/>
    </row>
    <row r="17">
      <c r="A17" s="8">
        <v>46037.0</v>
      </c>
      <c r="B17" s="4"/>
      <c r="C17" s="11"/>
      <c r="D17" s="10">
        <v>113280.0</v>
      </c>
      <c r="E17" s="4"/>
      <c r="F17" s="4"/>
      <c r="G17" s="9"/>
      <c r="H17" s="4"/>
      <c r="I17" s="9"/>
      <c r="J17" s="9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11"/>
      <c r="W17" s="4"/>
      <c r="X17" s="4"/>
      <c r="Y17" s="4"/>
      <c r="Z17" s="4"/>
    </row>
    <row r="18">
      <c r="A18" s="8">
        <v>46038.0</v>
      </c>
      <c r="B18" s="4"/>
      <c r="C18" s="4"/>
      <c r="D18" s="18" t="s">
        <v>1</v>
      </c>
      <c r="E18" s="4"/>
      <c r="F18" s="4"/>
      <c r="G18" s="10">
        <v>148680.0</v>
      </c>
      <c r="H18" s="4"/>
      <c r="I18" s="9"/>
      <c r="J18" s="9"/>
      <c r="K18" s="4"/>
      <c r="L18" s="4"/>
      <c r="M18" s="4"/>
      <c r="N18" s="10">
        <v>254880.0</v>
      </c>
      <c r="O18" s="10">
        <v>147440.0</v>
      </c>
      <c r="P18" s="4"/>
      <c r="Q18" s="4"/>
      <c r="R18" s="4"/>
      <c r="S18" s="10">
        <v>308864.0</v>
      </c>
      <c r="T18" s="4"/>
      <c r="U18" s="4"/>
      <c r="V18" s="4"/>
      <c r="W18" s="4"/>
      <c r="X18" s="4"/>
      <c r="Y18" s="4"/>
      <c r="Z18" s="4"/>
    </row>
    <row r="19">
      <c r="A19" s="8">
        <v>46039.0</v>
      </c>
      <c r="B19" s="4"/>
      <c r="C19" s="4"/>
      <c r="D19" s="10">
        <v>147440.0</v>
      </c>
      <c r="E19" s="4"/>
      <c r="F19" s="4"/>
      <c r="G19" s="10">
        <v>148680.0</v>
      </c>
      <c r="H19" s="4"/>
      <c r="I19" s="9"/>
      <c r="J19" s="9"/>
      <c r="K19" s="4"/>
      <c r="L19" s="4"/>
      <c r="M19" s="4"/>
      <c r="N19" s="11"/>
      <c r="O19" s="10">
        <v>147440.0</v>
      </c>
      <c r="P19" s="4"/>
      <c r="Q19" s="4"/>
      <c r="R19" s="10">
        <v>133280.0</v>
      </c>
      <c r="S19" s="11"/>
      <c r="T19" s="4"/>
      <c r="U19" s="4"/>
      <c r="V19" s="10">
        <v>147440.0</v>
      </c>
      <c r="W19" s="4"/>
      <c r="X19" s="4"/>
      <c r="Y19" s="4"/>
      <c r="Z19" s="4"/>
    </row>
    <row r="20">
      <c r="A20" s="8">
        <v>46040.0</v>
      </c>
      <c r="B20" s="4"/>
      <c r="C20" s="4"/>
      <c r="D20" s="4"/>
      <c r="E20" s="4"/>
      <c r="F20" s="4"/>
      <c r="G20" s="10" t="s">
        <v>1</v>
      </c>
      <c r="H20" s="4"/>
      <c r="I20" s="9"/>
      <c r="J20" s="9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>
        <v>46041.0</v>
      </c>
      <c r="B21" s="4"/>
      <c r="C21" s="4"/>
      <c r="D21" s="4"/>
      <c r="E21" s="4"/>
      <c r="F21" s="4"/>
      <c r="G21" s="9"/>
      <c r="H21" s="4"/>
      <c r="I21" s="9"/>
      <c r="J21" s="9"/>
      <c r="K21" s="4"/>
      <c r="L21" s="4"/>
      <c r="M21" s="4"/>
      <c r="N21" s="10">
        <v>271872.0</v>
      </c>
      <c r="O21" s="4"/>
      <c r="P21" s="4"/>
      <c r="Q21" s="4"/>
      <c r="R21" s="4"/>
      <c r="S21" s="4"/>
      <c r="T21" s="4"/>
      <c r="U21" s="10">
        <v>998928.0</v>
      </c>
      <c r="V21" s="4"/>
      <c r="W21" s="4"/>
      <c r="X21" s="4"/>
      <c r="Y21" s="4"/>
      <c r="Z21" s="4"/>
    </row>
    <row r="22">
      <c r="A22" s="8">
        <v>46042.0</v>
      </c>
      <c r="B22" s="4"/>
      <c r="C22" s="4"/>
      <c r="D22" s="4"/>
      <c r="E22" s="10">
        <v>431631.0</v>
      </c>
      <c r="F22" s="4"/>
      <c r="G22" s="10">
        <v>127440.0</v>
      </c>
      <c r="H22" s="4"/>
      <c r="I22" s="9"/>
      <c r="J22" s="9"/>
      <c r="K22" s="4"/>
      <c r="L22" s="4"/>
      <c r="M22" s="4"/>
      <c r="N22" s="11"/>
      <c r="O22" s="10">
        <v>243020.0</v>
      </c>
      <c r="P22" s="4"/>
      <c r="Q22" s="4"/>
      <c r="R22" s="4"/>
      <c r="S22" s="4"/>
      <c r="T22" s="4"/>
      <c r="U22" s="11"/>
      <c r="V22" s="10">
        <v>127049.0</v>
      </c>
      <c r="W22" s="4"/>
      <c r="X22" s="4"/>
      <c r="Y22" s="4"/>
      <c r="Z22" s="4"/>
    </row>
    <row r="23">
      <c r="A23" s="8">
        <v>46043.0</v>
      </c>
      <c r="B23" s="4"/>
      <c r="C23" s="17">
        <v>120931.0</v>
      </c>
      <c r="D23" s="4"/>
      <c r="E23" s="11"/>
      <c r="F23" s="4"/>
      <c r="G23" s="10">
        <v>127440.0</v>
      </c>
      <c r="H23" s="4"/>
      <c r="I23" s="9"/>
      <c r="J23" s="9"/>
      <c r="K23" s="4"/>
      <c r="L23" s="10">
        <v>383204.0</v>
      </c>
      <c r="M23" s="4"/>
      <c r="N23" s="4"/>
      <c r="O23" s="11"/>
      <c r="P23" s="4"/>
      <c r="Q23" s="4"/>
      <c r="R23" s="4"/>
      <c r="S23" s="4"/>
      <c r="T23" s="4"/>
      <c r="U23" s="11"/>
      <c r="V23" s="10">
        <v>127049.0</v>
      </c>
      <c r="W23" s="4"/>
      <c r="X23" s="4"/>
      <c r="Y23" s="4"/>
      <c r="Z23" s="4"/>
    </row>
    <row r="24">
      <c r="A24" s="8">
        <v>46044.0</v>
      </c>
      <c r="B24" s="4"/>
      <c r="C24" s="4"/>
      <c r="D24" s="4"/>
      <c r="E24" s="11"/>
      <c r="F24" s="4"/>
      <c r="G24" s="10">
        <v>127440.0</v>
      </c>
      <c r="H24" s="4"/>
      <c r="I24" s="9"/>
      <c r="J24" s="9"/>
      <c r="K24" s="4"/>
      <c r="L24" s="11"/>
      <c r="M24" s="17">
        <v>128045.0</v>
      </c>
      <c r="N24" s="10">
        <v>143370.0</v>
      </c>
      <c r="O24" s="4"/>
      <c r="P24" s="4"/>
      <c r="Q24" s="4"/>
      <c r="R24" s="4"/>
      <c r="S24" s="4"/>
      <c r="T24" s="4"/>
      <c r="U24" s="11"/>
      <c r="V24" s="4"/>
      <c r="W24" s="4"/>
      <c r="X24" s="4"/>
      <c r="Y24" s="4"/>
      <c r="Z24" s="4"/>
    </row>
    <row r="25">
      <c r="A25" s="8">
        <v>46045.0</v>
      </c>
      <c r="B25" s="4"/>
      <c r="C25" s="4"/>
      <c r="D25" s="4"/>
      <c r="E25" s="4"/>
      <c r="F25" s="4"/>
      <c r="G25" s="10">
        <v>127440.0</v>
      </c>
      <c r="H25" s="4"/>
      <c r="I25" s="9"/>
      <c r="J25" s="9"/>
      <c r="K25" s="4"/>
      <c r="L25" s="4"/>
      <c r="M25" s="4"/>
      <c r="N25" s="4"/>
      <c r="O25" s="4"/>
      <c r="P25" s="4"/>
      <c r="Q25" s="4"/>
      <c r="R25" s="10">
        <v>269570.0</v>
      </c>
      <c r="S25" s="10">
        <v>416480.0</v>
      </c>
      <c r="T25" s="4"/>
      <c r="U25" s="11"/>
      <c r="V25" s="4"/>
      <c r="W25" s="4"/>
      <c r="X25" s="4"/>
      <c r="Y25" s="4"/>
      <c r="Z25" s="4"/>
    </row>
    <row r="26">
      <c r="A26" s="8">
        <v>46046.0</v>
      </c>
      <c r="B26" s="4"/>
      <c r="C26" s="4"/>
      <c r="D26" s="4"/>
      <c r="E26" s="10">
        <v>423560.0</v>
      </c>
      <c r="F26" s="10">
        <v>149139.0</v>
      </c>
      <c r="G26" s="10">
        <v>153990.0</v>
      </c>
      <c r="H26" s="10">
        <v>231456.0</v>
      </c>
      <c r="I26" s="9"/>
      <c r="J26" s="9"/>
      <c r="K26" s="10">
        <v>121952.0</v>
      </c>
      <c r="L26" s="4"/>
      <c r="M26" s="4"/>
      <c r="N26" s="10">
        <v>258066.0</v>
      </c>
      <c r="O26" s="10">
        <v>149351.0</v>
      </c>
      <c r="P26" s="4"/>
      <c r="Q26" s="4"/>
      <c r="R26" s="11"/>
      <c r="S26" s="11"/>
      <c r="T26" s="10">
        <v>138566.0</v>
      </c>
      <c r="U26" s="11"/>
      <c r="V26" s="10">
        <v>153812.0</v>
      </c>
      <c r="W26" s="4"/>
      <c r="X26" s="4"/>
      <c r="Y26" s="4"/>
      <c r="Z26" s="4"/>
    </row>
    <row r="27">
      <c r="A27" s="8">
        <v>46047.0</v>
      </c>
      <c r="B27" s="4"/>
      <c r="C27" s="4"/>
      <c r="D27" s="4"/>
      <c r="E27" s="11"/>
      <c r="F27" s="4"/>
      <c r="G27" s="10">
        <v>153990.0</v>
      </c>
      <c r="H27" s="11"/>
      <c r="I27" s="9"/>
      <c r="J27" s="9"/>
      <c r="K27" s="10">
        <v>121952.0</v>
      </c>
      <c r="L27" s="4"/>
      <c r="M27" s="4"/>
      <c r="N27" s="11"/>
      <c r="O27" s="4"/>
      <c r="P27" s="4"/>
      <c r="Q27" s="4"/>
      <c r="R27" s="4"/>
      <c r="S27" s="10">
        <v>195230.0</v>
      </c>
      <c r="T27" s="4"/>
      <c r="U27" s="11"/>
      <c r="V27" s="10">
        <v>287624.0</v>
      </c>
      <c r="W27" s="4"/>
      <c r="X27" s="4"/>
      <c r="Y27" s="4"/>
      <c r="Z27" s="4"/>
    </row>
    <row r="28">
      <c r="A28" s="8">
        <v>46048.0</v>
      </c>
      <c r="B28" s="4"/>
      <c r="C28" s="4"/>
      <c r="D28" s="4"/>
      <c r="E28" s="4"/>
      <c r="F28" s="4"/>
      <c r="G28" s="9"/>
      <c r="H28" s="4"/>
      <c r="I28" s="9"/>
      <c r="J28" s="9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11"/>
      <c r="W28" s="4"/>
      <c r="X28" s="4"/>
      <c r="Y28" s="4"/>
      <c r="Z28" s="4"/>
    </row>
    <row r="29">
      <c r="A29" s="8">
        <v>46049.0</v>
      </c>
      <c r="B29" s="4"/>
      <c r="C29" s="4"/>
      <c r="D29" s="4"/>
      <c r="E29" s="4"/>
      <c r="F29" s="4"/>
      <c r="G29" s="9"/>
      <c r="H29" s="4"/>
      <c r="I29" s="9"/>
      <c r="J29" s="9"/>
      <c r="K29" s="4"/>
      <c r="L29" s="4"/>
      <c r="M29" s="4"/>
      <c r="N29" s="10">
        <v>116129.0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>
        <v>46050.0</v>
      </c>
      <c r="B30" s="4"/>
      <c r="C30" s="4"/>
      <c r="D30" s="4"/>
      <c r="E30" s="4"/>
      <c r="F30" s="4"/>
      <c r="G30" s="10">
        <v>123192.0</v>
      </c>
      <c r="H30" s="4"/>
      <c r="I30" s="9"/>
      <c r="J30" s="9"/>
      <c r="K30" s="4"/>
      <c r="L30" s="4"/>
      <c r="M30" s="4"/>
      <c r="N30" s="4"/>
      <c r="O30" s="4"/>
      <c r="P30" s="13">
        <v>510000.0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>
        <v>46051.0</v>
      </c>
      <c r="B31" s="4"/>
      <c r="C31" s="4"/>
      <c r="D31" s="4"/>
      <c r="E31" s="4"/>
      <c r="F31" s="4"/>
      <c r="G31" s="13">
        <v>120000.0</v>
      </c>
      <c r="H31" s="4"/>
      <c r="I31" s="9"/>
      <c r="J31" s="9"/>
      <c r="K31" s="4"/>
      <c r="L31" s="4"/>
      <c r="M31" s="4"/>
      <c r="N31" s="4"/>
      <c r="O31" s="4"/>
      <c r="P31" s="13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>
        <v>46052.0</v>
      </c>
      <c r="B32" s="10">
        <v>356000.0</v>
      </c>
      <c r="C32" s="4"/>
      <c r="D32" s="4"/>
      <c r="E32" s="4"/>
      <c r="F32" s="4"/>
      <c r="G32" s="10">
        <v>277182.0</v>
      </c>
      <c r="H32" s="13">
        <v>170000.0</v>
      </c>
      <c r="I32" s="9"/>
      <c r="J32" s="9"/>
      <c r="K32" s="10">
        <v>138136.0</v>
      </c>
      <c r="L32" s="4"/>
      <c r="M32" s="4"/>
      <c r="N32" s="4"/>
      <c r="O32" s="4"/>
      <c r="P32" s="13"/>
      <c r="Q32" s="4"/>
      <c r="R32" s="4"/>
      <c r="S32" s="4"/>
      <c r="T32" s="4"/>
      <c r="U32" s="10">
        <v>301005.0</v>
      </c>
      <c r="V32" s="10">
        <v>153812.0</v>
      </c>
      <c r="W32" s="17">
        <v>249818.0</v>
      </c>
      <c r="X32" s="10">
        <v>305944.0</v>
      </c>
      <c r="Y32" s="4"/>
      <c r="Z32" s="4"/>
    </row>
    <row r="33">
      <c r="A33" s="8">
        <v>46053.0</v>
      </c>
      <c r="B33" s="11"/>
      <c r="C33" s="4"/>
      <c r="D33" s="4"/>
      <c r="E33" s="10">
        <v>186734.0</v>
      </c>
      <c r="F33" s="4"/>
      <c r="G33" s="11"/>
      <c r="H33" s="4"/>
      <c r="I33" s="9"/>
      <c r="J33" s="9"/>
      <c r="K33" s="10">
        <v>132440.0</v>
      </c>
      <c r="L33" s="4"/>
      <c r="M33" s="4"/>
      <c r="N33" s="10">
        <v>143370.0</v>
      </c>
      <c r="O33" s="10">
        <v>168680.0</v>
      </c>
      <c r="P33" s="4"/>
      <c r="Q33" s="4"/>
      <c r="R33" s="10">
        <v>168680.0</v>
      </c>
      <c r="S33" s="10">
        <v>195230.0</v>
      </c>
      <c r="T33" s="10">
        <v>186734.0</v>
      </c>
      <c r="U33" s="11"/>
      <c r="V33" s="10">
        <v>152680.0</v>
      </c>
      <c r="W33" s="19"/>
      <c r="X33" s="11"/>
      <c r="Y33" s="10">
        <v>144254.0</v>
      </c>
      <c r="Z33" s="4"/>
    </row>
    <row r="34">
      <c r="A34" s="5" t="s">
        <v>2</v>
      </c>
      <c r="B34" s="20">
        <f t="shared" ref="B34:Y34" si="1">SUM(B3:B33)</f>
        <v>4839200</v>
      </c>
      <c r="C34" s="20">
        <f t="shared" si="1"/>
        <v>3260771</v>
      </c>
      <c r="D34" s="20">
        <f t="shared" si="1"/>
        <v>1651680</v>
      </c>
      <c r="E34" s="20">
        <f t="shared" si="1"/>
        <v>3306333</v>
      </c>
      <c r="F34" s="20">
        <f t="shared" si="1"/>
        <v>2463883</v>
      </c>
      <c r="G34" s="20">
        <f t="shared" si="1"/>
        <v>3364514</v>
      </c>
      <c r="H34" s="20">
        <f t="shared" si="1"/>
        <v>2025360</v>
      </c>
      <c r="I34" s="20">
        <f t="shared" si="1"/>
        <v>2168513</v>
      </c>
      <c r="J34" s="20">
        <f t="shared" si="1"/>
        <v>1669615</v>
      </c>
      <c r="K34" s="20">
        <f t="shared" si="1"/>
        <v>2013430</v>
      </c>
      <c r="L34" s="20">
        <f t="shared" si="1"/>
        <v>2620121</v>
      </c>
      <c r="M34" s="20">
        <f t="shared" si="1"/>
        <v>2262429</v>
      </c>
      <c r="N34" s="20">
        <f t="shared" si="1"/>
        <v>3122807</v>
      </c>
      <c r="O34" s="20">
        <f t="shared" si="1"/>
        <v>3026531</v>
      </c>
      <c r="P34" s="20">
        <f t="shared" si="1"/>
        <v>3645552</v>
      </c>
      <c r="Q34" s="20">
        <f t="shared" si="1"/>
        <v>2482153</v>
      </c>
      <c r="R34" s="20">
        <f t="shared" si="1"/>
        <v>2196050</v>
      </c>
      <c r="S34" s="20">
        <f t="shared" si="1"/>
        <v>3557991</v>
      </c>
      <c r="T34" s="20">
        <f t="shared" si="1"/>
        <v>2277608</v>
      </c>
      <c r="U34" s="20">
        <f t="shared" si="1"/>
        <v>3237853</v>
      </c>
      <c r="V34" s="20">
        <f t="shared" si="1"/>
        <v>3468424</v>
      </c>
      <c r="W34" s="20">
        <f t="shared" si="1"/>
        <v>3615627</v>
      </c>
      <c r="X34" s="20">
        <f t="shared" si="1"/>
        <v>3373878</v>
      </c>
      <c r="Y34" s="20">
        <f t="shared" si="1"/>
        <v>1278785</v>
      </c>
      <c r="Z34" s="20">
        <f t="shared" ref="Z34:Z35" si="2">SUM(B34:Y34)</f>
        <v>66929108</v>
      </c>
    </row>
    <row r="35">
      <c r="A35" s="21" t="s">
        <v>3</v>
      </c>
      <c r="B35" s="22">
        <v>7.0</v>
      </c>
      <c r="C35" s="22">
        <v>8.0</v>
      </c>
      <c r="D35" s="22">
        <v>7.0</v>
      </c>
      <c r="E35" s="22">
        <v>13.0</v>
      </c>
      <c r="F35" s="22">
        <v>8.0</v>
      </c>
      <c r="G35" s="22">
        <v>18.0</v>
      </c>
      <c r="H35" s="22">
        <v>9.0</v>
      </c>
      <c r="I35" s="22">
        <v>5.0</v>
      </c>
      <c r="J35" s="22">
        <v>4.0</v>
      </c>
      <c r="K35" s="22">
        <v>9.0</v>
      </c>
      <c r="L35" s="22">
        <v>8.0</v>
      </c>
      <c r="M35" s="22">
        <v>7.0</v>
      </c>
      <c r="N35" s="22">
        <v>17.0</v>
      </c>
      <c r="O35" s="22">
        <v>13.0</v>
      </c>
      <c r="P35" s="22">
        <v>11.0</v>
      </c>
      <c r="Q35" s="22">
        <v>6.0</v>
      </c>
      <c r="R35" s="22">
        <v>9.0</v>
      </c>
      <c r="S35" s="22">
        <v>12.0</v>
      </c>
      <c r="T35" s="22">
        <v>6.0</v>
      </c>
      <c r="U35" s="22">
        <v>16.0</v>
      </c>
      <c r="V35" s="22">
        <v>15.0</v>
      </c>
      <c r="W35" s="22">
        <v>11.0</v>
      </c>
      <c r="X35" s="22">
        <v>10.0</v>
      </c>
      <c r="Y35" s="22">
        <v>6.0</v>
      </c>
      <c r="Z35" s="22">
        <f t="shared" si="2"/>
        <v>235</v>
      </c>
    </row>
    <row r="36">
      <c r="A36" s="23" t="s">
        <v>4</v>
      </c>
      <c r="B36" s="24">
        <f t="shared" ref="B36:Y36" si="3">(B35/31)</f>
        <v>0.2258064516</v>
      </c>
      <c r="C36" s="24">
        <f t="shared" si="3"/>
        <v>0.2580645161</v>
      </c>
      <c r="D36" s="24">
        <f t="shared" si="3"/>
        <v>0.2258064516</v>
      </c>
      <c r="E36" s="24">
        <f t="shared" si="3"/>
        <v>0.4193548387</v>
      </c>
      <c r="F36" s="24">
        <f t="shared" si="3"/>
        <v>0.2580645161</v>
      </c>
      <c r="G36" s="24">
        <f t="shared" si="3"/>
        <v>0.5806451613</v>
      </c>
      <c r="H36" s="24">
        <f t="shared" si="3"/>
        <v>0.2903225806</v>
      </c>
      <c r="I36" s="24">
        <f t="shared" si="3"/>
        <v>0.1612903226</v>
      </c>
      <c r="J36" s="24">
        <f t="shared" si="3"/>
        <v>0.1290322581</v>
      </c>
      <c r="K36" s="24">
        <f t="shared" si="3"/>
        <v>0.2903225806</v>
      </c>
      <c r="L36" s="24">
        <f t="shared" si="3"/>
        <v>0.2580645161</v>
      </c>
      <c r="M36" s="24">
        <f t="shared" si="3"/>
        <v>0.2258064516</v>
      </c>
      <c r="N36" s="24">
        <f t="shared" si="3"/>
        <v>0.5483870968</v>
      </c>
      <c r="O36" s="24">
        <f t="shared" si="3"/>
        <v>0.4193548387</v>
      </c>
      <c r="P36" s="24">
        <f t="shared" si="3"/>
        <v>0.3548387097</v>
      </c>
      <c r="Q36" s="24">
        <f t="shared" si="3"/>
        <v>0.1935483871</v>
      </c>
      <c r="R36" s="24">
        <f t="shared" si="3"/>
        <v>0.2903225806</v>
      </c>
      <c r="S36" s="24">
        <f t="shared" si="3"/>
        <v>0.3870967742</v>
      </c>
      <c r="T36" s="24">
        <f t="shared" si="3"/>
        <v>0.1935483871</v>
      </c>
      <c r="U36" s="24">
        <f t="shared" si="3"/>
        <v>0.5161290323</v>
      </c>
      <c r="V36" s="24">
        <f t="shared" si="3"/>
        <v>0.4838709677</v>
      </c>
      <c r="W36" s="24">
        <f t="shared" si="3"/>
        <v>0.3548387097</v>
      </c>
      <c r="X36" s="24">
        <f t="shared" si="3"/>
        <v>0.3225806452</v>
      </c>
      <c r="Y36" s="24">
        <f t="shared" si="3"/>
        <v>0.1935483871</v>
      </c>
      <c r="Z36" s="25"/>
    </row>
    <row r="37">
      <c r="A37" s="26" t="s">
        <v>5</v>
      </c>
      <c r="B37" s="27">
        <f>B39/B38</f>
        <v>0.3158602151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9"/>
      <c r="Z37" s="4"/>
    </row>
    <row r="38">
      <c r="A38" s="23" t="s">
        <v>6</v>
      </c>
      <c r="B38" s="28">
        <f>24*31</f>
        <v>744</v>
      </c>
      <c r="C38" s="4"/>
      <c r="D38" s="4"/>
      <c r="E38" s="4"/>
      <c r="F38" s="4"/>
      <c r="G38" s="9"/>
      <c r="H38" s="4"/>
      <c r="I38" s="9"/>
      <c r="J38" s="9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9" t="s">
        <v>7</v>
      </c>
      <c r="B39" s="30">
        <f>Z35</f>
        <v>235</v>
      </c>
      <c r="C39" s="4"/>
      <c r="E39" s="4"/>
      <c r="F39" s="4"/>
      <c r="G39" s="9"/>
      <c r="H39" s="4"/>
      <c r="I39" s="9"/>
      <c r="J39" s="9"/>
      <c r="K39" s="4"/>
      <c r="L39" s="4"/>
      <c r="M39" s="4"/>
      <c r="N39" s="4"/>
      <c r="O39" s="4"/>
      <c r="P39" s="4"/>
      <c r="Q39" s="4"/>
      <c r="R39" s="4"/>
      <c r="S39" s="31"/>
      <c r="T39" s="4"/>
      <c r="U39" s="32"/>
      <c r="V39" s="4"/>
      <c r="W39" s="4"/>
      <c r="X39" s="4"/>
      <c r="Y39" s="4"/>
      <c r="Z39" s="4"/>
    </row>
    <row r="40">
      <c r="A40" s="23" t="s">
        <v>8</v>
      </c>
      <c r="B40" s="33">
        <f>20000+40000+40000+60000</f>
        <v>160000</v>
      </c>
      <c r="C40" s="4"/>
      <c r="D40" s="4"/>
      <c r="E40" s="4"/>
      <c r="F40" s="4"/>
      <c r="G40" s="9"/>
      <c r="H40" s="4"/>
      <c r="I40" s="9"/>
      <c r="J40" s="9"/>
      <c r="K40" s="4"/>
      <c r="L40" s="4"/>
      <c r="M40" s="4"/>
      <c r="N40" s="31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9" t="s">
        <v>9</v>
      </c>
      <c r="B41" s="34">
        <f>200000+300000+150000+150000+120000</f>
        <v>920000</v>
      </c>
      <c r="D41" s="4"/>
      <c r="E41" s="4"/>
      <c r="F41" s="4"/>
      <c r="G41" s="9"/>
      <c r="H41" s="4"/>
      <c r="I41" s="9"/>
      <c r="J41" s="9"/>
      <c r="K41" s="4"/>
      <c r="L41" s="31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3" t="s">
        <v>10</v>
      </c>
      <c r="B42" s="33">
        <f>Z34+B40+B41</f>
        <v>68009108</v>
      </c>
      <c r="C42" s="4"/>
      <c r="D42" s="4"/>
      <c r="E42" s="4"/>
      <c r="F42" s="4"/>
      <c r="G42" s="9"/>
      <c r="H42" s="4"/>
      <c r="I42" s="9"/>
      <c r="J42" s="9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5" t="s">
        <v>11</v>
      </c>
      <c r="B43" s="36">
        <f>SUM(892590+597283+304652+609853+454463+598451+314554+399982+307960+444663+483281+412894+570903+558244+578353+457833+334048+656271+420105+592123+739540+622863+678743+235872)</f>
        <v>12265524</v>
      </c>
      <c r="C43" s="4"/>
      <c r="D43" s="4"/>
      <c r="E43" s="4"/>
      <c r="F43" s="4"/>
      <c r="G43" s="9"/>
      <c r="H43" s="4"/>
      <c r="I43" s="9"/>
      <c r="J43" s="9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5" t="s">
        <v>12</v>
      </c>
      <c r="B44" s="36">
        <f> 85000+ 40000+ 40000+ 120000+ 80000+ 40000+ 60000+ 40000+ 140000+ 80000+ 60000+ 60000+ 220000+ 60000+ 60000+ 80000+ 120000+ 80000+ 120000+ 220000+ 45000+ 80000+ 100000</f>
        <v>2030000</v>
      </c>
      <c r="C44" s="4"/>
      <c r="D44" s="4"/>
      <c r="E44" s="4"/>
      <c r="F44" s="4"/>
      <c r="G44" s="9"/>
      <c r="H44" s="4"/>
      <c r="I44" s="9"/>
      <c r="J44" s="9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5" t="s">
        <v>13</v>
      </c>
      <c r="B45" s="36">
        <f> 2934823+ 1993851+ 1140532+ 1958125+ 1572759+ 2340826+ 1269813+ 1298483+ 1004457+ 1387826+ 1563198+ 1360047+ 1893847+ 1708698+ 2407872+ 1492883+ 1354321+ 2114107+ 1350902+ 1919555+ 2370899+ 2882956+ 2220020+ 716614</f>
        <v>42257414</v>
      </c>
      <c r="C45" s="4"/>
      <c r="E45" s="4"/>
      <c r="F45" s="4"/>
      <c r="G45" s="9"/>
      <c r="H45" s="4"/>
      <c r="I45" s="9"/>
      <c r="J45" s="9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5" t="s">
        <v>14</v>
      </c>
      <c r="B46" s="36">
        <f> 926786+ 629637+ 360168+ 618355+ 463061+ 739208+ 400994+ 410047+ 317197+ 438261+ 493642+ 429488+ 598057+ 539589+ 599328+ 471437+ 427680+ 667613+ 426601+ 606175+ 633007+ 561947+ 643576+ 226299</f>
        <v>12628153</v>
      </c>
      <c r="C46" s="37">
        <f>B46+B44</f>
        <v>14658153</v>
      </c>
      <c r="E46" s="4"/>
      <c r="F46" s="4"/>
      <c r="G46" s="9"/>
      <c r="H46" s="4"/>
      <c r="I46" s="9"/>
      <c r="J46" s="9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5" t="s">
        <v>15</v>
      </c>
      <c r="B47" s="36">
        <v>5953283.0</v>
      </c>
      <c r="C47" s="4"/>
      <c r="D47" s="4"/>
      <c r="E47" s="4"/>
      <c r="F47" s="4"/>
      <c r="G47" s="9"/>
      <c r="H47" s="4"/>
      <c r="I47" s="9"/>
      <c r="J47" s="9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5" t="s">
        <v>16</v>
      </c>
      <c r="B48" s="36">
        <f>B45+B40+B41</f>
        <v>43337414</v>
      </c>
      <c r="C48" s="4"/>
      <c r="D48" s="4"/>
      <c r="E48" s="4"/>
      <c r="F48" s="4"/>
      <c r="G48" s="9"/>
      <c r="H48" s="4"/>
      <c r="I48" s="9"/>
      <c r="J48" s="9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5" t="s">
        <v>17</v>
      </c>
      <c r="B49" s="36">
        <f>B48-B47</f>
        <v>37384131</v>
      </c>
      <c r="C49" s="4"/>
      <c r="D49" s="4"/>
      <c r="E49" s="4"/>
      <c r="F49" s="4"/>
      <c r="G49" s="9"/>
      <c r="H49" s="4"/>
      <c r="I49" s="9"/>
      <c r="J49" s="9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9"/>
      <c r="H50" s="4"/>
      <c r="I50" s="9"/>
      <c r="J50" s="9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8" t="s">
        <v>18</v>
      </c>
      <c r="B51" s="4"/>
      <c r="C51" s="4"/>
      <c r="D51" s="4"/>
      <c r="E51" s="4"/>
      <c r="F51" s="4"/>
      <c r="G51" s="9"/>
      <c r="H51" s="4"/>
      <c r="I51" s="9"/>
      <c r="J51" s="9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8" t="s">
        <v>19</v>
      </c>
      <c r="B52" s="4"/>
      <c r="C52" s="4"/>
      <c r="D52" s="4"/>
      <c r="E52" s="4"/>
      <c r="F52" s="4"/>
      <c r="G52" s="9"/>
      <c r="H52" s="4"/>
      <c r="I52" s="9"/>
      <c r="J52" s="9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9" t="s">
        <v>20</v>
      </c>
      <c r="B53" s="4"/>
      <c r="C53" s="4"/>
      <c r="D53" s="4"/>
      <c r="E53" s="4"/>
      <c r="F53" s="4"/>
      <c r="G53" s="9"/>
      <c r="H53" s="4"/>
      <c r="I53" s="9"/>
      <c r="J53" s="9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9"/>
      <c r="H54" s="4"/>
      <c r="I54" s="9"/>
      <c r="J54" s="9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9"/>
      <c r="H55" s="4"/>
      <c r="I55" s="9"/>
      <c r="J55" s="9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9"/>
      <c r="H56" s="4"/>
      <c r="I56" s="9"/>
      <c r="J56" s="9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9"/>
      <c r="H57" s="4"/>
      <c r="I57" s="9"/>
      <c r="J57" s="9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9"/>
      <c r="H58" s="4"/>
      <c r="I58" s="9"/>
      <c r="J58" s="9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9"/>
      <c r="H59" s="4"/>
      <c r="I59" s="9"/>
      <c r="J59" s="9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9"/>
      <c r="H60" s="4"/>
      <c r="I60" s="9"/>
      <c r="J60" s="9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9"/>
      <c r="H61" s="4"/>
      <c r="I61" s="9"/>
      <c r="J61" s="9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9"/>
      <c r="H62" s="4"/>
      <c r="I62" s="9"/>
      <c r="J62" s="9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9"/>
      <c r="H63" s="4"/>
      <c r="I63" s="9"/>
      <c r="J63" s="9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9"/>
      <c r="H64" s="4"/>
      <c r="I64" s="9"/>
      <c r="J64" s="9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9"/>
      <c r="H65" s="4"/>
      <c r="I65" s="9"/>
      <c r="J65" s="9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9"/>
      <c r="H66" s="4"/>
      <c r="I66" s="9"/>
      <c r="J66" s="9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9"/>
      <c r="H67" s="4"/>
      <c r="I67" s="9"/>
      <c r="J67" s="9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9"/>
      <c r="H68" s="4"/>
      <c r="I68" s="9"/>
      <c r="J68" s="9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9"/>
      <c r="H69" s="4"/>
      <c r="I69" s="9"/>
      <c r="J69" s="9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9"/>
      <c r="H70" s="4"/>
      <c r="I70" s="9"/>
      <c r="J70" s="9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9"/>
      <c r="H71" s="4"/>
      <c r="I71" s="9"/>
      <c r="J71" s="9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9"/>
      <c r="H72" s="4"/>
      <c r="I72" s="9"/>
      <c r="J72" s="9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9"/>
      <c r="H73" s="4"/>
      <c r="I73" s="9"/>
      <c r="J73" s="9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9"/>
      <c r="H74" s="4"/>
      <c r="I74" s="9"/>
      <c r="J74" s="9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9"/>
      <c r="H75" s="4"/>
      <c r="I75" s="9"/>
      <c r="J75" s="9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9"/>
      <c r="H76" s="4"/>
      <c r="I76" s="9"/>
      <c r="J76" s="9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9"/>
      <c r="H77" s="4"/>
      <c r="I77" s="9"/>
      <c r="J77" s="9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9"/>
      <c r="H78" s="4"/>
      <c r="I78" s="9"/>
      <c r="J78" s="9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9"/>
      <c r="H79" s="4"/>
      <c r="I79" s="9"/>
      <c r="J79" s="9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9"/>
      <c r="H80" s="4"/>
      <c r="I80" s="9"/>
      <c r="J80" s="9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9"/>
      <c r="H81" s="4"/>
      <c r="I81" s="9"/>
      <c r="J81" s="9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9"/>
      <c r="H82" s="4"/>
      <c r="I82" s="9"/>
      <c r="J82" s="9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9"/>
      <c r="H83" s="4"/>
      <c r="I83" s="9"/>
      <c r="J83" s="9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9"/>
      <c r="H84" s="4"/>
      <c r="I84" s="9"/>
      <c r="J84" s="9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9"/>
      <c r="H85" s="4"/>
      <c r="I85" s="9"/>
      <c r="J85" s="9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9"/>
      <c r="H86" s="4"/>
      <c r="I86" s="9"/>
      <c r="J86" s="9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9"/>
      <c r="H87" s="4"/>
      <c r="I87" s="9"/>
      <c r="J87" s="9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9"/>
      <c r="H88" s="4"/>
      <c r="I88" s="9"/>
      <c r="J88" s="9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9"/>
      <c r="H89" s="4"/>
      <c r="I89" s="9"/>
      <c r="J89" s="9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9"/>
      <c r="H90" s="4"/>
      <c r="I90" s="9"/>
      <c r="J90" s="9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9"/>
      <c r="H91" s="4"/>
      <c r="I91" s="9"/>
      <c r="J91" s="9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9"/>
      <c r="H92" s="4"/>
      <c r="I92" s="9"/>
      <c r="J92" s="9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9"/>
      <c r="H93" s="4"/>
      <c r="I93" s="9"/>
      <c r="J93" s="9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9"/>
      <c r="H94" s="4"/>
      <c r="I94" s="9"/>
      <c r="J94" s="9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9"/>
      <c r="H95" s="4"/>
      <c r="I95" s="9"/>
      <c r="J95" s="9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9"/>
      <c r="H96" s="4"/>
      <c r="I96" s="9"/>
      <c r="J96" s="9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9"/>
      <c r="H97" s="4"/>
      <c r="I97" s="9"/>
      <c r="J97" s="9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9"/>
      <c r="H98" s="4"/>
      <c r="I98" s="9"/>
      <c r="J98" s="9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9"/>
      <c r="H99" s="4"/>
      <c r="I99" s="9"/>
      <c r="J99" s="9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9"/>
      <c r="H100" s="4"/>
      <c r="I100" s="9"/>
      <c r="J100" s="9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9"/>
      <c r="H101" s="4"/>
      <c r="I101" s="9"/>
      <c r="J101" s="9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9"/>
      <c r="H102" s="4"/>
      <c r="I102" s="9"/>
      <c r="J102" s="9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9"/>
      <c r="H103" s="4"/>
      <c r="I103" s="9"/>
      <c r="J103" s="9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9"/>
      <c r="H104" s="4"/>
      <c r="I104" s="9"/>
      <c r="J104" s="9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9"/>
      <c r="H105" s="4"/>
      <c r="I105" s="9"/>
      <c r="J105" s="9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9"/>
      <c r="H106" s="4"/>
      <c r="I106" s="9"/>
      <c r="J106" s="9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9"/>
      <c r="H107" s="4"/>
      <c r="I107" s="9"/>
      <c r="J107" s="9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9"/>
      <c r="H108" s="4"/>
      <c r="I108" s="9"/>
      <c r="J108" s="9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9"/>
      <c r="H109" s="4"/>
      <c r="I109" s="9"/>
      <c r="J109" s="9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9"/>
      <c r="H110" s="4"/>
      <c r="I110" s="9"/>
      <c r="J110" s="9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9"/>
      <c r="H111" s="4"/>
      <c r="I111" s="9"/>
      <c r="J111" s="9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9"/>
      <c r="H112" s="4"/>
      <c r="I112" s="9"/>
      <c r="J112" s="9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9"/>
      <c r="H113" s="4"/>
      <c r="I113" s="9"/>
      <c r="J113" s="9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9"/>
      <c r="H114" s="4"/>
      <c r="I114" s="9"/>
      <c r="J114" s="9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9"/>
      <c r="H115" s="4"/>
      <c r="I115" s="9"/>
      <c r="J115" s="9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9"/>
      <c r="H116" s="4"/>
      <c r="I116" s="9"/>
      <c r="J116" s="9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9"/>
      <c r="H117" s="4"/>
      <c r="I117" s="9"/>
      <c r="J117" s="9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9"/>
      <c r="H118" s="4"/>
      <c r="I118" s="9"/>
      <c r="J118" s="9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9"/>
      <c r="H119" s="4"/>
      <c r="I119" s="9"/>
      <c r="J119" s="9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9"/>
      <c r="H120" s="4"/>
      <c r="I120" s="9"/>
      <c r="J120" s="9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9"/>
      <c r="H121" s="4"/>
      <c r="I121" s="9"/>
      <c r="J121" s="9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9"/>
      <c r="H122" s="4"/>
      <c r="I122" s="9"/>
      <c r="J122" s="9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9"/>
      <c r="H123" s="4"/>
      <c r="I123" s="9"/>
      <c r="J123" s="9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9"/>
      <c r="H124" s="4"/>
      <c r="I124" s="9"/>
      <c r="J124" s="9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9"/>
      <c r="H125" s="4"/>
      <c r="I125" s="9"/>
      <c r="J125" s="9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9"/>
      <c r="H126" s="4"/>
      <c r="I126" s="9"/>
      <c r="J126" s="9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9"/>
      <c r="H127" s="4"/>
      <c r="I127" s="9"/>
      <c r="J127" s="9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9"/>
      <c r="H128" s="4"/>
      <c r="I128" s="9"/>
      <c r="J128" s="9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9"/>
      <c r="H129" s="4"/>
      <c r="I129" s="9"/>
      <c r="J129" s="9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9"/>
      <c r="H130" s="4"/>
      <c r="I130" s="9"/>
      <c r="J130" s="9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9"/>
      <c r="H131" s="4"/>
      <c r="I131" s="9"/>
      <c r="J131" s="9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9"/>
      <c r="H132" s="4"/>
      <c r="I132" s="9"/>
      <c r="J132" s="9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9"/>
      <c r="H133" s="4"/>
      <c r="I133" s="9"/>
      <c r="J133" s="9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9"/>
      <c r="H134" s="4"/>
      <c r="I134" s="9"/>
      <c r="J134" s="9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9"/>
      <c r="H135" s="4"/>
      <c r="I135" s="9"/>
      <c r="J135" s="9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9"/>
      <c r="H136" s="4"/>
      <c r="I136" s="9"/>
      <c r="J136" s="9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9"/>
      <c r="H137" s="4"/>
      <c r="I137" s="9"/>
      <c r="J137" s="9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9"/>
      <c r="H138" s="4"/>
      <c r="I138" s="9"/>
      <c r="J138" s="9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9"/>
      <c r="H139" s="4"/>
      <c r="I139" s="9"/>
      <c r="J139" s="9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9"/>
      <c r="H140" s="4"/>
      <c r="I140" s="9"/>
      <c r="J140" s="9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9"/>
      <c r="H141" s="4"/>
      <c r="I141" s="9"/>
      <c r="J141" s="9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9"/>
      <c r="H142" s="4"/>
      <c r="I142" s="9"/>
      <c r="J142" s="9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9"/>
      <c r="H143" s="4"/>
      <c r="I143" s="9"/>
      <c r="J143" s="9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9"/>
      <c r="H144" s="4"/>
      <c r="I144" s="9"/>
      <c r="J144" s="9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9"/>
      <c r="H145" s="4"/>
      <c r="I145" s="9"/>
      <c r="J145" s="9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9"/>
      <c r="H146" s="4"/>
      <c r="I146" s="9"/>
      <c r="J146" s="9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9"/>
      <c r="H147" s="4"/>
      <c r="I147" s="9"/>
      <c r="J147" s="9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9"/>
      <c r="H148" s="4"/>
      <c r="I148" s="9"/>
      <c r="J148" s="9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9"/>
      <c r="H149" s="4"/>
      <c r="I149" s="9"/>
      <c r="J149" s="9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9"/>
      <c r="H150" s="4"/>
      <c r="I150" s="9"/>
      <c r="J150" s="9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9"/>
      <c r="H151" s="4"/>
      <c r="I151" s="9"/>
      <c r="J151" s="9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9"/>
      <c r="H152" s="4"/>
      <c r="I152" s="9"/>
      <c r="J152" s="9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9"/>
      <c r="H153" s="4"/>
      <c r="I153" s="9"/>
      <c r="J153" s="9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9"/>
      <c r="H154" s="4"/>
      <c r="I154" s="9"/>
      <c r="J154" s="9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9"/>
      <c r="H155" s="4"/>
      <c r="I155" s="9"/>
      <c r="J155" s="9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9"/>
      <c r="H156" s="4"/>
      <c r="I156" s="9"/>
      <c r="J156" s="9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9"/>
      <c r="H157" s="4"/>
      <c r="I157" s="9"/>
      <c r="J157" s="9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9"/>
      <c r="H158" s="4"/>
      <c r="I158" s="9"/>
      <c r="J158" s="9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9"/>
      <c r="H159" s="4"/>
      <c r="I159" s="9"/>
      <c r="J159" s="9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9"/>
      <c r="H160" s="4"/>
      <c r="I160" s="9"/>
      <c r="J160" s="9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9"/>
      <c r="H161" s="4"/>
      <c r="I161" s="9"/>
      <c r="J161" s="9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9"/>
      <c r="H162" s="4"/>
      <c r="I162" s="9"/>
      <c r="J162" s="9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9"/>
      <c r="H163" s="4"/>
      <c r="I163" s="9"/>
      <c r="J163" s="9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9"/>
      <c r="H164" s="4"/>
      <c r="I164" s="9"/>
      <c r="J164" s="9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9"/>
      <c r="H165" s="4"/>
      <c r="I165" s="9"/>
      <c r="J165" s="9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9"/>
      <c r="H166" s="4"/>
      <c r="I166" s="9"/>
      <c r="J166" s="9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9"/>
      <c r="H167" s="4"/>
      <c r="I167" s="9"/>
      <c r="J167" s="9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9"/>
      <c r="H168" s="4"/>
      <c r="I168" s="9"/>
      <c r="J168" s="9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9"/>
      <c r="H169" s="4"/>
      <c r="I169" s="9"/>
      <c r="J169" s="9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9"/>
      <c r="H170" s="4"/>
      <c r="I170" s="9"/>
      <c r="J170" s="9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9"/>
      <c r="H171" s="4"/>
      <c r="I171" s="9"/>
      <c r="J171" s="9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9"/>
      <c r="H172" s="4"/>
      <c r="I172" s="9"/>
      <c r="J172" s="9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9"/>
      <c r="H173" s="4"/>
      <c r="I173" s="9"/>
      <c r="J173" s="9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9"/>
      <c r="H174" s="4"/>
      <c r="I174" s="9"/>
      <c r="J174" s="9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9"/>
      <c r="H175" s="4"/>
      <c r="I175" s="9"/>
      <c r="J175" s="9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9"/>
      <c r="H176" s="4"/>
      <c r="I176" s="9"/>
      <c r="J176" s="9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9"/>
      <c r="H177" s="4"/>
      <c r="I177" s="9"/>
      <c r="J177" s="9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9"/>
      <c r="H178" s="4"/>
      <c r="I178" s="9"/>
      <c r="J178" s="9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9"/>
      <c r="H179" s="4"/>
      <c r="I179" s="9"/>
      <c r="J179" s="9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9"/>
      <c r="H180" s="4"/>
      <c r="I180" s="9"/>
      <c r="J180" s="9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9"/>
      <c r="H181" s="4"/>
      <c r="I181" s="9"/>
      <c r="J181" s="9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9"/>
      <c r="H182" s="4"/>
      <c r="I182" s="9"/>
      <c r="J182" s="9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9"/>
      <c r="H183" s="4"/>
      <c r="I183" s="9"/>
      <c r="J183" s="9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9"/>
      <c r="H184" s="4"/>
      <c r="I184" s="9"/>
      <c r="J184" s="9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9"/>
      <c r="H185" s="4"/>
      <c r="I185" s="9"/>
      <c r="J185" s="9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9"/>
      <c r="H186" s="4"/>
      <c r="I186" s="9"/>
      <c r="J186" s="9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9"/>
      <c r="H187" s="4"/>
      <c r="I187" s="9"/>
      <c r="J187" s="9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9"/>
      <c r="H188" s="4"/>
      <c r="I188" s="9"/>
      <c r="J188" s="9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9"/>
      <c r="H189" s="4"/>
      <c r="I189" s="9"/>
      <c r="J189" s="9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9"/>
      <c r="H190" s="4"/>
      <c r="I190" s="9"/>
      <c r="J190" s="9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9"/>
      <c r="H191" s="4"/>
      <c r="I191" s="9"/>
      <c r="J191" s="9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9"/>
      <c r="H192" s="4"/>
      <c r="I192" s="9"/>
      <c r="J192" s="9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9"/>
      <c r="H193" s="4"/>
      <c r="I193" s="9"/>
      <c r="J193" s="9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9"/>
      <c r="H194" s="4"/>
      <c r="I194" s="9"/>
      <c r="J194" s="9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9"/>
      <c r="H195" s="4"/>
      <c r="I195" s="9"/>
      <c r="J195" s="9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9"/>
      <c r="H196" s="4"/>
      <c r="I196" s="9"/>
      <c r="J196" s="9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9"/>
      <c r="H197" s="4"/>
      <c r="I197" s="9"/>
      <c r="J197" s="9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9"/>
      <c r="H198" s="4"/>
      <c r="I198" s="9"/>
      <c r="J198" s="9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9"/>
      <c r="H199" s="4"/>
      <c r="I199" s="9"/>
      <c r="J199" s="9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9"/>
      <c r="H200" s="4"/>
      <c r="I200" s="9"/>
      <c r="J200" s="9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9"/>
      <c r="H201" s="4"/>
      <c r="I201" s="9"/>
      <c r="J201" s="9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9"/>
      <c r="H202" s="4"/>
      <c r="I202" s="9"/>
      <c r="J202" s="9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9"/>
      <c r="H203" s="4"/>
      <c r="I203" s="9"/>
      <c r="J203" s="9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9"/>
      <c r="H204" s="4"/>
      <c r="I204" s="9"/>
      <c r="J204" s="9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9"/>
      <c r="H205" s="4"/>
      <c r="I205" s="9"/>
      <c r="J205" s="9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9"/>
      <c r="H206" s="4"/>
      <c r="I206" s="9"/>
      <c r="J206" s="9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9"/>
      <c r="H207" s="4"/>
      <c r="I207" s="9"/>
      <c r="J207" s="9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9"/>
      <c r="H208" s="4"/>
      <c r="I208" s="9"/>
      <c r="J208" s="9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9"/>
      <c r="H209" s="4"/>
      <c r="I209" s="9"/>
      <c r="J209" s="9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9"/>
      <c r="H210" s="4"/>
      <c r="I210" s="9"/>
      <c r="J210" s="9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9"/>
      <c r="H211" s="4"/>
      <c r="I211" s="9"/>
      <c r="J211" s="9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9"/>
      <c r="H212" s="4"/>
      <c r="I212" s="9"/>
      <c r="J212" s="9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9"/>
      <c r="H213" s="4"/>
      <c r="I213" s="9"/>
      <c r="J213" s="9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9"/>
      <c r="H214" s="4"/>
      <c r="I214" s="9"/>
      <c r="J214" s="9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9"/>
      <c r="H215" s="4"/>
      <c r="I215" s="9"/>
      <c r="J215" s="9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9"/>
      <c r="H216" s="4"/>
      <c r="I216" s="9"/>
      <c r="J216" s="9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9"/>
      <c r="H217" s="4"/>
      <c r="I217" s="9"/>
      <c r="J217" s="9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9"/>
      <c r="H218" s="4"/>
      <c r="I218" s="9"/>
      <c r="J218" s="9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9"/>
      <c r="H219" s="4"/>
      <c r="I219" s="9"/>
      <c r="J219" s="9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9"/>
      <c r="H220" s="4"/>
      <c r="I220" s="9"/>
      <c r="J220" s="9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9"/>
      <c r="H221" s="4"/>
      <c r="I221" s="9"/>
      <c r="J221" s="9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9"/>
      <c r="H222" s="4"/>
      <c r="I222" s="9"/>
      <c r="J222" s="9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9"/>
      <c r="H223" s="4"/>
      <c r="I223" s="9"/>
      <c r="J223" s="9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9"/>
      <c r="H224" s="4"/>
      <c r="I224" s="9"/>
      <c r="J224" s="9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9"/>
      <c r="H225" s="4"/>
      <c r="I225" s="9"/>
      <c r="J225" s="9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9"/>
      <c r="H226" s="4"/>
      <c r="I226" s="9"/>
      <c r="J226" s="9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9"/>
      <c r="H227" s="4"/>
      <c r="I227" s="9"/>
      <c r="J227" s="9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9"/>
      <c r="H228" s="4"/>
      <c r="I228" s="9"/>
      <c r="J228" s="9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9"/>
      <c r="H229" s="4"/>
      <c r="I229" s="9"/>
      <c r="J229" s="9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9"/>
      <c r="H230" s="4"/>
      <c r="I230" s="9"/>
      <c r="J230" s="9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9"/>
      <c r="H231" s="4"/>
      <c r="I231" s="9"/>
      <c r="J231" s="9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9"/>
      <c r="H232" s="4"/>
      <c r="I232" s="9"/>
      <c r="J232" s="9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9"/>
      <c r="H233" s="4"/>
      <c r="I233" s="9"/>
      <c r="J233" s="9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9"/>
      <c r="H234" s="4"/>
      <c r="I234" s="9"/>
      <c r="J234" s="9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9"/>
      <c r="H235" s="4"/>
      <c r="I235" s="9"/>
      <c r="J235" s="9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9"/>
      <c r="H236" s="4"/>
      <c r="I236" s="9"/>
      <c r="J236" s="9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9"/>
      <c r="H237" s="4"/>
      <c r="I237" s="9"/>
      <c r="J237" s="9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9"/>
      <c r="H238" s="4"/>
      <c r="I238" s="9"/>
      <c r="J238" s="9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9"/>
      <c r="H239" s="4"/>
      <c r="I239" s="9"/>
      <c r="J239" s="9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9"/>
      <c r="H240" s="4"/>
      <c r="I240" s="9"/>
      <c r="J240" s="9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9"/>
      <c r="H241" s="4"/>
      <c r="I241" s="9"/>
      <c r="J241" s="9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9"/>
      <c r="H242" s="4"/>
      <c r="I242" s="9"/>
      <c r="J242" s="9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9"/>
      <c r="H243" s="4"/>
      <c r="I243" s="9"/>
      <c r="J243" s="9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9"/>
      <c r="H244" s="4"/>
      <c r="I244" s="9"/>
      <c r="J244" s="9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9"/>
      <c r="H245" s="4"/>
      <c r="I245" s="9"/>
      <c r="J245" s="9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9"/>
      <c r="H246" s="4"/>
      <c r="I246" s="9"/>
      <c r="J246" s="9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9"/>
      <c r="H247" s="4"/>
      <c r="I247" s="9"/>
      <c r="J247" s="9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9"/>
      <c r="H248" s="4"/>
      <c r="I248" s="9"/>
      <c r="J248" s="9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9"/>
      <c r="H249" s="4"/>
      <c r="I249" s="9"/>
      <c r="J249" s="9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9"/>
      <c r="H250" s="4"/>
      <c r="I250" s="9"/>
      <c r="J250" s="9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9"/>
      <c r="H251" s="4"/>
      <c r="I251" s="9"/>
      <c r="J251" s="9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9"/>
      <c r="H252" s="4"/>
      <c r="I252" s="9"/>
      <c r="J252" s="9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9"/>
      <c r="H253" s="4"/>
      <c r="I253" s="9"/>
      <c r="J253" s="9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9"/>
      <c r="H254" s="4"/>
      <c r="I254" s="9"/>
      <c r="J254" s="9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9"/>
      <c r="H255" s="4"/>
      <c r="I255" s="9"/>
      <c r="J255" s="9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9"/>
      <c r="H256" s="4"/>
      <c r="I256" s="9"/>
      <c r="J256" s="9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9"/>
      <c r="H257" s="4"/>
      <c r="I257" s="9"/>
      <c r="J257" s="9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9"/>
      <c r="H258" s="4"/>
      <c r="I258" s="9"/>
      <c r="J258" s="9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9"/>
      <c r="H259" s="4"/>
      <c r="I259" s="9"/>
      <c r="J259" s="9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9"/>
      <c r="H260" s="4"/>
      <c r="I260" s="9"/>
      <c r="J260" s="9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9"/>
      <c r="H261" s="4"/>
      <c r="I261" s="9"/>
      <c r="J261" s="9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9"/>
      <c r="H262" s="4"/>
      <c r="I262" s="9"/>
      <c r="J262" s="9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9"/>
      <c r="H263" s="4"/>
      <c r="I263" s="9"/>
      <c r="J263" s="9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9"/>
      <c r="H264" s="4"/>
      <c r="I264" s="9"/>
      <c r="J264" s="9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9"/>
      <c r="H265" s="4"/>
      <c r="I265" s="9"/>
      <c r="J265" s="9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9"/>
      <c r="H266" s="4"/>
      <c r="I266" s="9"/>
      <c r="J266" s="9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9"/>
      <c r="H267" s="4"/>
      <c r="I267" s="9"/>
      <c r="J267" s="9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9"/>
      <c r="H268" s="4"/>
      <c r="I268" s="9"/>
      <c r="J268" s="9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9"/>
      <c r="H269" s="4"/>
      <c r="I269" s="9"/>
      <c r="J269" s="9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9"/>
      <c r="H270" s="4"/>
      <c r="I270" s="9"/>
      <c r="J270" s="9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9"/>
      <c r="H271" s="4"/>
      <c r="I271" s="9"/>
      <c r="J271" s="9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9"/>
      <c r="H272" s="4"/>
      <c r="I272" s="9"/>
      <c r="J272" s="9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9"/>
      <c r="H273" s="4"/>
      <c r="I273" s="9"/>
      <c r="J273" s="9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9"/>
      <c r="H274" s="4"/>
      <c r="I274" s="9"/>
      <c r="J274" s="9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9"/>
      <c r="H275" s="4"/>
      <c r="I275" s="9"/>
      <c r="J275" s="9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9"/>
      <c r="H276" s="4"/>
      <c r="I276" s="9"/>
      <c r="J276" s="9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9"/>
      <c r="H277" s="4"/>
      <c r="I277" s="9"/>
      <c r="J277" s="9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9"/>
      <c r="H278" s="4"/>
      <c r="I278" s="9"/>
      <c r="J278" s="9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9"/>
      <c r="H279" s="4"/>
      <c r="I279" s="9"/>
      <c r="J279" s="9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9"/>
      <c r="H280" s="4"/>
      <c r="I280" s="9"/>
      <c r="J280" s="9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9"/>
      <c r="H281" s="4"/>
      <c r="I281" s="9"/>
      <c r="J281" s="9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9"/>
      <c r="H282" s="4"/>
      <c r="I282" s="9"/>
      <c r="J282" s="9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9"/>
      <c r="H283" s="4"/>
      <c r="I283" s="9"/>
      <c r="J283" s="9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9"/>
      <c r="H284" s="4"/>
      <c r="I284" s="9"/>
      <c r="J284" s="9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9"/>
      <c r="H285" s="4"/>
      <c r="I285" s="9"/>
      <c r="J285" s="9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9"/>
      <c r="H286" s="4"/>
      <c r="I286" s="9"/>
      <c r="J286" s="9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9"/>
      <c r="H287" s="4"/>
      <c r="I287" s="9"/>
      <c r="J287" s="9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9"/>
      <c r="H288" s="4"/>
      <c r="I288" s="9"/>
      <c r="J288" s="9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9"/>
      <c r="H289" s="4"/>
      <c r="I289" s="9"/>
      <c r="J289" s="9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9"/>
      <c r="H290" s="4"/>
      <c r="I290" s="9"/>
      <c r="J290" s="9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9"/>
      <c r="H291" s="4"/>
      <c r="I291" s="9"/>
      <c r="J291" s="9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9"/>
      <c r="H292" s="4"/>
      <c r="I292" s="9"/>
      <c r="J292" s="9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9"/>
      <c r="H293" s="4"/>
      <c r="I293" s="9"/>
      <c r="J293" s="9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9"/>
      <c r="H294" s="4"/>
      <c r="I294" s="9"/>
      <c r="J294" s="9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9"/>
      <c r="H295" s="4"/>
      <c r="I295" s="9"/>
      <c r="J295" s="9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9"/>
      <c r="H296" s="4"/>
      <c r="I296" s="9"/>
      <c r="J296" s="9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9"/>
      <c r="H297" s="4"/>
      <c r="I297" s="9"/>
      <c r="J297" s="9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9"/>
      <c r="H298" s="4"/>
      <c r="I298" s="9"/>
      <c r="J298" s="9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9"/>
      <c r="H299" s="4"/>
      <c r="I299" s="9"/>
      <c r="J299" s="9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9"/>
      <c r="H300" s="4"/>
      <c r="I300" s="9"/>
      <c r="J300" s="9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9"/>
      <c r="H301" s="4"/>
      <c r="I301" s="9"/>
      <c r="J301" s="9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9"/>
      <c r="H302" s="4"/>
      <c r="I302" s="9"/>
      <c r="J302" s="9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9"/>
      <c r="H303" s="4"/>
      <c r="I303" s="9"/>
      <c r="J303" s="9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9"/>
      <c r="H304" s="4"/>
      <c r="I304" s="9"/>
      <c r="J304" s="9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9"/>
      <c r="H305" s="4"/>
      <c r="I305" s="9"/>
      <c r="J305" s="9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9"/>
      <c r="H306" s="4"/>
      <c r="I306" s="9"/>
      <c r="J306" s="9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9"/>
      <c r="H307" s="4"/>
      <c r="I307" s="9"/>
      <c r="J307" s="9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9"/>
      <c r="H308" s="4"/>
      <c r="I308" s="9"/>
      <c r="J308" s="9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9"/>
      <c r="H309" s="4"/>
      <c r="I309" s="9"/>
      <c r="J309" s="9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9"/>
      <c r="H310" s="4"/>
      <c r="I310" s="9"/>
      <c r="J310" s="9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9"/>
      <c r="H311" s="4"/>
      <c r="I311" s="9"/>
      <c r="J311" s="9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9"/>
      <c r="H312" s="4"/>
      <c r="I312" s="9"/>
      <c r="J312" s="9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9"/>
      <c r="H313" s="4"/>
      <c r="I313" s="9"/>
      <c r="J313" s="9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9"/>
      <c r="H314" s="4"/>
      <c r="I314" s="9"/>
      <c r="J314" s="9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9"/>
      <c r="H315" s="4"/>
      <c r="I315" s="9"/>
      <c r="J315" s="9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9"/>
      <c r="H316" s="4"/>
      <c r="I316" s="9"/>
      <c r="J316" s="9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9"/>
      <c r="H317" s="4"/>
      <c r="I317" s="9"/>
      <c r="J317" s="9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9"/>
      <c r="H318" s="4"/>
      <c r="I318" s="9"/>
      <c r="J318" s="9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9"/>
      <c r="H319" s="4"/>
      <c r="I319" s="9"/>
      <c r="J319" s="9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9"/>
      <c r="H320" s="4"/>
      <c r="I320" s="9"/>
      <c r="J320" s="9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9"/>
      <c r="H321" s="4"/>
      <c r="I321" s="9"/>
      <c r="J321" s="9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9"/>
      <c r="H322" s="4"/>
      <c r="I322" s="9"/>
      <c r="J322" s="9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9"/>
      <c r="H323" s="4"/>
      <c r="I323" s="9"/>
      <c r="J323" s="9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9"/>
      <c r="H324" s="4"/>
      <c r="I324" s="9"/>
      <c r="J324" s="9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9"/>
      <c r="H325" s="4"/>
      <c r="I325" s="9"/>
      <c r="J325" s="9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9"/>
      <c r="H326" s="4"/>
      <c r="I326" s="9"/>
      <c r="J326" s="9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9"/>
      <c r="H327" s="4"/>
      <c r="I327" s="9"/>
      <c r="J327" s="9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9"/>
      <c r="H328" s="4"/>
      <c r="I328" s="9"/>
      <c r="J328" s="9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9"/>
      <c r="H329" s="4"/>
      <c r="I329" s="9"/>
      <c r="J329" s="9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9"/>
      <c r="H330" s="4"/>
      <c r="I330" s="9"/>
      <c r="J330" s="9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9"/>
      <c r="H331" s="4"/>
      <c r="I331" s="9"/>
      <c r="J331" s="9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9"/>
      <c r="H332" s="4"/>
      <c r="I332" s="9"/>
      <c r="J332" s="9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9"/>
      <c r="H333" s="4"/>
      <c r="I333" s="9"/>
      <c r="J333" s="9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9"/>
      <c r="H334" s="4"/>
      <c r="I334" s="9"/>
      <c r="J334" s="9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9"/>
      <c r="H335" s="4"/>
      <c r="I335" s="9"/>
      <c r="J335" s="9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9"/>
      <c r="H336" s="4"/>
      <c r="I336" s="9"/>
      <c r="J336" s="9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9"/>
      <c r="H337" s="4"/>
      <c r="I337" s="9"/>
      <c r="J337" s="9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9"/>
      <c r="H338" s="4"/>
      <c r="I338" s="9"/>
      <c r="J338" s="9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9"/>
      <c r="H339" s="4"/>
      <c r="I339" s="9"/>
      <c r="J339" s="9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9"/>
      <c r="H340" s="4"/>
      <c r="I340" s="9"/>
      <c r="J340" s="9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9"/>
      <c r="H341" s="4"/>
      <c r="I341" s="9"/>
      <c r="J341" s="9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9"/>
      <c r="H342" s="4"/>
      <c r="I342" s="9"/>
      <c r="J342" s="9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9"/>
      <c r="H343" s="4"/>
      <c r="I343" s="9"/>
      <c r="J343" s="9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9"/>
      <c r="H344" s="4"/>
      <c r="I344" s="9"/>
      <c r="J344" s="9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9"/>
      <c r="H345" s="4"/>
      <c r="I345" s="9"/>
      <c r="J345" s="9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9"/>
      <c r="H346" s="4"/>
      <c r="I346" s="9"/>
      <c r="J346" s="9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9"/>
      <c r="H347" s="4"/>
      <c r="I347" s="9"/>
      <c r="J347" s="9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9"/>
      <c r="H348" s="4"/>
      <c r="I348" s="9"/>
      <c r="J348" s="9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9"/>
      <c r="H349" s="4"/>
      <c r="I349" s="9"/>
      <c r="J349" s="9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9"/>
      <c r="H350" s="4"/>
      <c r="I350" s="9"/>
      <c r="J350" s="9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9"/>
      <c r="H351" s="4"/>
      <c r="I351" s="9"/>
      <c r="J351" s="9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9"/>
      <c r="H352" s="4"/>
      <c r="I352" s="9"/>
      <c r="J352" s="9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9"/>
      <c r="H353" s="4"/>
      <c r="I353" s="9"/>
      <c r="J353" s="9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9"/>
      <c r="H354" s="4"/>
      <c r="I354" s="9"/>
      <c r="J354" s="9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9"/>
      <c r="H355" s="4"/>
      <c r="I355" s="9"/>
      <c r="J355" s="9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9"/>
      <c r="H356" s="4"/>
      <c r="I356" s="9"/>
      <c r="J356" s="9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9"/>
      <c r="H357" s="4"/>
      <c r="I357" s="9"/>
      <c r="J357" s="9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9"/>
      <c r="H358" s="4"/>
      <c r="I358" s="9"/>
      <c r="J358" s="9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9"/>
      <c r="H359" s="4"/>
      <c r="I359" s="9"/>
      <c r="J359" s="9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9"/>
      <c r="H360" s="4"/>
      <c r="I360" s="9"/>
      <c r="J360" s="9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9"/>
      <c r="H361" s="4"/>
      <c r="I361" s="9"/>
      <c r="J361" s="9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9"/>
      <c r="H362" s="4"/>
      <c r="I362" s="9"/>
      <c r="J362" s="9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9"/>
      <c r="H363" s="4"/>
      <c r="I363" s="9"/>
      <c r="J363" s="9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9"/>
      <c r="H364" s="4"/>
      <c r="I364" s="9"/>
      <c r="J364" s="9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9"/>
      <c r="H365" s="4"/>
      <c r="I365" s="9"/>
      <c r="J365" s="9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9"/>
      <c r="H366" s="4"/>
      <c r="I366" s="9"/>
      <c r="J366" s="9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9"/>
      <c r="H367" s="4"/>
      <c r="I367" s="9"/>
      <c r="J367" s="9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9"/>
      <c r="H368" s="4"/>
      <c r="I368" s="9"/>
      <c r="J368" s="9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9"/>
      <c r="H369" s="4"/>
      <c r="I369" s="9"/>
      <c r="J369" s="9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9"/>
      <c r="H370" s="4"/>
      <c r="I370" s="9"/>
      <c r="J370" s="9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9"/>
      <c r="H371" s="4"/>
      <c r="I371" s="9"/>
      <c r="J371" s="9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9"/>
      <c r="H372" s="4"/>
      <c r="I372" s="9"/>
      <c r="J372" s="9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9"/>
      <c r="H373" s="4"/>
      <c r="I373" s="9"/>
      <c r="J373" s="9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9"/>
      <c r="H374" s="4"/>
      <c r="I374" s="9"/>
      <c r="J374" s="9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9"/>
      <c r="H375" s="4"/>
      <c r="I375" s="9"/>
      <c r="J375" s="9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9"/>
      <c r="H376" s="4"/>
      <c r="I376" s="9"/>
      <c r="J376" s="9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9"/>
      <c r="H377" s="4"/>
      <c r="I377" s="9"/>
      <c r="J377" s="9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9"/>
      <c r="H378" s="4"/>
      <c r="I378" s="9"/>
      <c r="J378" s="9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9"/>
      <c r="H379" s="4"/>
      <c r="I379" s="9"/>
      <c r="J379" s="9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9"/>
      <c r="H380" s="4"/>
      <c r="I380" s="9"/>
      <c r="J380" s="9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9"/>
      <c r="H381" s="4"/>
      <c r="I381" s="9"/>
      <c r="J381" s="9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9"/>
      <c r="H382" s="4"/>
      <c r="I382" s="9"/>
      <c r="J382" s="9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9"/>
      <c r="H383" s="4"/>
      <c r="I383" s="9"/>
      <c r="J383" s="9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9"/>
      <c r="H384" s="4"/>
      <c r="I384" s="9"/>
      <c r="J384" s="9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9"/>
      <c r="H385" s="4"/>
      <c r="I385" s="9"/>
      <c r="J385" s="9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9"/>
      <c r="H386" s="4"/>
      <c r="I386" s="9"/>
      <c r="J386" s="9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9"/>
      <c r="H387" s="4"/>
      <c r="I387" s="9"/>
      <c r="J387" s="9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9"/>
      <c r="H388" s="4"/>
      <c r="I388" s="9"/>
      <c r="J388" s="9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9"/>
      <c r="H389" s="4"/>
      <c r="I389" s="9"/>
      <c r="J389" s="9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9"/>
      <c r="H390" s="4"/>
      <c r="I390" s="9"/>
      <c r="J390" s="9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9"/>
      <c r="H391" s="4"/>
      <c r="I391" s="9"/>
      <c r="J391" s="9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9"/>
      <c r="H392" s="4"/>
      <c r="I392" s="9"/>
      <c r="J392" s="9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9"/>
      <c r="H393" s="4"/>
      <c r="I393" s="9"/>
      <c r="J393" s="9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9"/>
      <c r="H394" s="4"/>
      <c r="I394" s="9"/>
      <c r="J394" s="9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9"/>
      <c r="H395" s="4"/>
      <c r="I395" s="9"/>
      <c r="J395" s="9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9"/>
      <c r="H396" s="4"/>
      <c r="I396" s="9"/>
      <c r="J396" s="9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9"/>
      <c r="H397" s="4"/>
      <c r="I397" s="9"/>
      <c r="J397" s="9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9"/>
      <c r="H398" s="4"/>
      <c r="I398" s="9"/>
      <c r="J398" s="9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9"/>
      <c r="H399" s="4"/>
      <c r="I399" s="9"/>
      <c r="J399" s="9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9"/>
      <c r="H400" s="4"/>
      <c r="I400" s="9"/>
      <c r="J400" s="9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9"/>
      <c r="H401" s="4"/>
      <c r="I401" s="9"/>
      <c r="J401" s="9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9"/>
      <c r="H402" s="4"/>
      <c r="I402" s="9"/>
      <c r="J402" s="9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9"/>
      <c r="H403" s="4"/>
      <c r="I403" s="9"/>
      <c r="J403" s="9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9"/>
      <c r="H404" s="4"/>
      <c r="I404" s="9"/>
      <c r="J404" s="9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9"/>
      <c r="H405" s="4"/>
      <c r="I405" s="9"/>
      <c r="J405" s="9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9"/>
      <c r="H406" s="4"/>
      <c r="I406" s="9"/>
      <c r="J406" s="9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9"/>
      <c r="H407" s="4"/>
      <c r="I407" s="9"/>
      <c r="J407" s="9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9"/>
      <c r="H408" s="4"/>
      <c r="I408" s="9"/>
      <c r="J408" s="9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9"/>
      <c r="H409" s="4"/>
      <c r="I409" s="9"/>
      <c r="J409" s="9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9"/>
      <c r="H410" s="4"/>
      <c r="I410" s="9"/>
      <c r="J410" s="9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9"/>
      <c r="H411" s="4"/>
      <c r="I411" s="9"/>
      <c r="J411" s="9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9"/>
      <c r="H412" s="4"/>
      <c r="I412" s="9"/>
      <c r="J412" s="9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9"/>
      <c r="H413" s="4"/>
      <c r="I413" s="9"/>
      <c r="J413" s="9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9"/>
      <c r="H414" s="4"/>
      <c r="I414" s="9"/>
      <c r="J414" s="9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9"/>
      <c r="H415" s="4"/>
      <c r="I415" s="9"/>
      <c r="J415" s="9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9"/>
      <c r="H416" s="4"/>
      <c r="I416" s="9"/>
      <c r="J416" s="9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9"/>
      <c r="H417" s="4"/>
      <c r="I417" s="9"/>
      <c r="J417" s="9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9"/>
      <c r="H418" s="4"/>
      <c r="I418" s="9"/>
      <c r="J418" s="9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9"/>
      <c r="H419" s="4"/>
      <c r="I419" s="9"/>
      <c r="J419" s="9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9"/>
      <c r="H420" s="4"/>
      <c r="I420" s="9"/>
      <c r="J420" s="9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9"/>
      <c r="H421" s="4"/>
      <c r="I421" s="9"/>
      <c r="J421" s="9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9"/>
      <c r="H422" s="4"/>
      <c r="I422" s="9"/>
      <c r="J422" s="9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9"/>
      <c r="H423" s="4"/>
      <c r="I423" s="9"/>
      <c r="J423" s="9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9"/>
      <c r="H424" s="4"/>
      <c r="I424" s="9"/>
      <c r="J424" s="9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9"/>
      <c r="H425" s="4"/>
      <c r="I425" s="9"/>
      <c r="J425" s="9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9"/>
      <c r="H426" s="4"/>
      <c r="I426" s="9"/>
      <c r="J426" s="9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9"/>
      <c r="H427" s="4"/>
      <c r="I427" s="9"/>
      <c r="J427" s="9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9"/>
      <c r="H428" s="4"/>
      <c r="I428" s="9"/>
      <c r="J428" s="9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9"/>
      <c r="H429" s="4"/>
      <c r="I429" s="9"/>
      <c r="J429" s="9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9"/>
      <c r="H430" s="4"/>
      <c r="I430" s="9"/>
      <c r="J430" s="9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9"/>
      <c r="H431" s="4"/>
      <c r="I431" s="9"/>
      <c r="J431" s="9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9"/>
      <c r="H432" s="4"/>
      <c r="I432" s="9"/>
      <c r="J432" s="9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9"/>
      <c r="H433" s="4"/>
      <c r="I433" s="9"/>
      <c r="J433" s="9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9"/>
      <c r="H434" s="4"/>
      <c r="I434" s="9"/>
      <c r="J434" s="9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9"/>
      <c r="H435" s="4"/>
      <c r="I435" s="9"/>
      <c r="J435" s="9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9"/>
      <c r="H436" s="4"/>
      <c r="I436" s="9"/>
      <c r="J436" s="9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9"/>
      <c r="H437" s="4"/>
      <c r="I437" s="9"/>
      <c r="J437" s="9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9"/>
      <c r="H438" s="4"/>
      <c r="I438" s="9"/>
      <c r="J438" s="9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9"/>
      <c r="H439" s="4"/>
      <c r="I439" s="9"/>
      <c r="J439" s="9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9"/>
      <c r="H440" s="4"/>
      <c r="I440" s="9"/>
      <c r="J440" s="9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9"/>
      <c r="H441" s="4"/>
      <c r="I441" s="9"/>
      <c r="J441" s="9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9"/>
      <c r="H442" s="4"/>
      <c r="I442" s="9"/>
      <c r="J442" s="9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9"/>
      <c r="H443" s="4"/>
      <c r="I443" s="9"/>
      <c r="J443" s="9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9"/>
      <c r="H444" s="4"/>
      <c r="I444" s="9"/>
      <c r="J444" s="9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9"/>
      <c r="H445" s="4"/>
      <c r="I445" s="9"/>
      <c r="J445" s="9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9"/>
      <c r="H446" s="4"/>
      <c r="I446" s="9"/>
      <c r="J446" s="9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9"/>
      <c r="H447" s="4"/>
      <c r="I447" s="9"/>
      <c r="J447" s="9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9"/>
      <c r="H448" s="4"/>
      <c r="I448" s="9"/>
      <c r="J448" s="9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9"/>
      <c r="H449" s="4"/>
      <c r="I449" s="9"/>
      <c r="J449" s="9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9"/>
      <c r="H450" s="4"/>
      <c r="I450" s="9"/>
      <c r="J450" s="9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9"/>
      <c r="H451" s="4"/>
      <c r="I451" s="9"/>
      <c r="J451" s="9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9"/>
      <c r="H452" s="4"/>
      <c r="I452" s="9"/>
      <c r="J452" s="9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9"/>
      <c r="H453" s="4"/>
      <c r="I453" s="9"/>
      <c r="J453" s="9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9"/>
      <c r="H454" s="4"/>
      <c r="I454" s="9"/>
      <c r="J454" s="9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9"/>
      <c r="H455" s="4"/>
      <c r="I455" s="9"/>
      <c r="J455" s="9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9"/>
      <c r="H456" s="4"/>
      <c r="I456" s="9"/>
      <c r="J456" s="9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9"/>
      <c r="H457" s="4"/>
      <c r="I457" s="9"/>
      <c r="J457" s="9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9"/>
      <c r="H458" s="4"/>
      <c r="I458" s="9"/>
      <c r="J458" s="9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9"/>
      <c r="H459" s="4"/>
      <c r="I459" s="9"/>
      <c r="J459" s="9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9"/>
      <c r="H460" s="4"/>
      <c r="I460" s="9"/>
      <c r="J460" s="9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9"/>
      <c r="H461" s="4"/>
      <c r="I461" s="9"/>
      <c r="J461" s="9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9"/>
      <c r="H462" s="4"/>
      <c r="I462" s="9"/>
      <c r="J462" s="9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9"/>
      <c r="H463" s="4"/>
      <c r="I463" s="9"/>
      <c r="J463" s="9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9"/>
      <c r="H464" s="4"/>
      <c r="I464" s="9"/>
      <c r="J464" s="9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9"/>
      <c r="H465" s="4"/>
      <c r="I465" s="9"/>
      <c r="J465" s="9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9"/>
      <c r="H466" s="4"/>
      <c r="I466" s="9"/>
      <c r="J466" s="9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9"/>
      <c r="H467" s="4"/>
      <c r="I467" s="9"/>
      <c r="J467" s="9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9"/>
      <c r="H468" s="4"/>
      <c r="I468" s="9"/>
      <c r="J468" s="9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9"/>
      <c r="H469" s="4"/>
      <c r="I469" s="9"/>
      <c r="J469" s="9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9"/>
      <c r="H470" s="4"/>
      <c r="I470" s="9"/>
      <c r="J470" s="9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9"/>
      <c r="H471" s="4"/>
      <c r="I471" s="9"/>
      <c r="J471" s="9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9"/>
      <c r="H472" s="4"/>
      <c r="I472" s="9"/>
      <c r="J472" s="9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9"/>
      <c r="H473" s="4"/>
      <c r="I473" s="9"/>
      <c r="J473" s="9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9"/>
      <c r="H474" s="4"/>
      <c r="I474" s="9"/>
      <c r="J474" s="9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9"/>
      <c r="H475" s="4"/>
      <c r="I475" s="9"/>
      <c r="J475" s="9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9"/>
      <c r="H476" s="4"/>
      <c r="I476" s="9"/>
      <c r="J476" s="9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9"/>
      <c r="H477" s="4"/>
      <c r="I477" s="9"/>
      <c r="J477" s="9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9"/>
      <c r="H478" s="4"/>
      <c r="I478" s="9"/>
      <c r="J478" s="9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9"/>
      <c r="H479" s="4"/>
      <c r="I479" s="9"/>
      <c r="J479" s="9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9"/>
      <c r="H480" s="4"/>
      <c r="I480" s="9"/>
      <c r="J480" s="9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9"/>
      <c r="H481" s="4"/>
      <c r="I481" s="9"/>
      <c r="J481" s="9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9"/>
      <c r="H482" s="4"/>
      <c r="I482" s="9"/>
      <c r="J482" s="9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9"/>
      <c r="H483" s="4"/>
      <c r="I483" s="9"/>
      <c r="J483" s="9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9"/>
      <c r="H484" s="4"/>
      <c r="I484" s="9"/>
      <c r="J484" s="9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9"/>
      <c r="H485" s="4"/>
      <c r="I485" s="9"/>
      <c r="J485" s="9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9"/>
      <c r="H486" s="4"/>
      <c r="I486" s="9"/>
      <c r="J486" s="9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9"/>
      <c r="H487" s="4"/>
      <c r="I487" s="9"/>
      <c r="J487" s="9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9"/>
      <c r="H488" s="4"/>
      <c r="I488" s="9"/>
      <c r="J488" s="9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9"/>
      <c r="H489" s="4"/>
      <c r="I489" s="9"/>
      <c r="J489" s="9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9"/>
      <c r="H490" s="4"/>
      <c r="I490" s="9"/>
      <c r="J490" s="9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9"/>
      <c r="H491" s="4"/>
      <c r="I491" s="9"/>
      <c r="J491" s="9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9"/>
      <c r="H492" s="4"/>
      <c r="I492" s="9"/>
      <c r="J492" s="9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9"/>
      <c r="H493" s="4"/>
      <c r="I493" s="9"/>
      <c r="J493" s="9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9"/>
      <c r="H494" s="4"/>
      <c r="I494" s="9"/>
      <c r="J494" s="9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9"/>
      <c r="H495" s="4"/>
      <c r="I495" s="9"/>
      <c r="J495" s="9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9"/>
      <c r="H496" s="4"/>
      <c r="I496" s="9"/>
      <c r="J496" s="9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9"/>
      <c r="H497" s="4"/>
      <c r="I497" s="9"/>
      <c r="J497" s="9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9"/>
      <c r="H498" s="4"/>
      <c r="I498" s="9"/>
      <c r="J498" s="9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9"/>
      <c r="H499" s="4"/>
      <c r="I499" s="9"/>
      <c r="J499" s="9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9"/>
      <c r="H500" s="4"/>
      <c r="I500" s="9"/>
      <c r="J500" s="9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9"/>
      <c r="H501" s="4"/>
      <c r="I501" s="9"/>
      <c r="J501" s="9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9"/>
      <c r="H502" s="4"/>
      <c r="I502" s="9"/>
      <c r="J502" s="9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9"/>
      <c r="H503" s="4"/>
      <c r="I503" s="9"/>
      <c r="J503" s="9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9"/>
      <c r="H504" s="4"/>
      <c r="I504" s="9"/>
      <c r="J504" s="9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9"/>
      <c r="H505" s="4"/>
      <c r="I505" s="9"/>
      <c r="J505" s="9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9"/>
      <c r="H506" s="4"/>
      <c r="I506" s="9"/>
      <c r="J506" s="9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9"/>
      <c r="H507" s="4"/>
      <c r="I507" s="9"/>
      <c r="J507" s="9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9"/>
      <c r="H508" s="4"/>
      <c r="I508" s="9"/>
      <c r="J508" s="9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9"/>
      <c r="H509" s="4"/>
      <c r="I509" s="9"/>
      <c r="J509" s="9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9"/>
      <c r="H510" s="4"/>
      <c r="I510" s="9"/>
      <c r="J510" s="9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9"/>
      <c r="H511" s="4"/>
      <c r="I511" s="9"/>
      <c r="J511" s="9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9"/>
      <c r="H512" s="4"/>
      <c r="I512" s="9"/>
      <c r="J512" s="9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9"/>
      <c r="H513" s="4"/>
      <c r="I513" s="9"/>
      <c r="J513" s="9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9"/>
      <c r="H514" s="4"/>
      <c r="I514" s="9"/>
      <c r="J514" s="9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9"/>
      <c r="H515" s="4"/>
      <c r="I515" s="9"/>
      <c r="J515" s="9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9"/>
      <c r="H516" s="4"/>
      <c r="I516" s="9"/>
      <c r="J516" s="9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9"/>
      <c r="H517" s="4"/>
      <c r="I517" s="9"/>
      <c r="J517" s="9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9"/>
      <c r="H518" s="4"/>
      <c r="I518" s="9"/>
      <c r="J518" s="9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9"/>
      <c r="H519" s="4"/>
      <c r="I519" s="9"/>
      <c r="J519" s="9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9"/>
      <c r="H520" s="4"/>
      <c r="I520" s="9"/>
      <c r="J520" s="9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9"/>
      <c r="H521" s="4"/>
      <c r="I521" s="9"/>
      <c r="J521" s="9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9"/>
      <c r="H522" s="4"/>
      <c r="I522" s="9"/>
      <c r="J522" s="9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9"/>
      <c r="H523" s="4"/>
      <c r="I523" s="9"/>
      <c r="J523" s="9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9"/>
      <c r="H524" s="4"/>
      <c r="I524" s="9"/>
      <c r="J524" s="9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9"/>
      <c r="H525" s="4"/>
      <c r="I525" s="9"/>
      <c r="J525" s="9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9"/>
      <c r="H526" s="4"/>
      <c r="I526" s="9"/>
      <c r="J526" s="9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9"/>
      <c r="H527" s="4"/>
      <c r="I527" s="9"/>
      <c r="J527" s="9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9"/>
      <c r="H528" s="4"/>
      <c r="I528" s="9"/>
      <c r="J528" s="9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9"/>
      <c r="H529" s="4"/>
      <c r="I529" s="9"/>
      <c r="J529" s="9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9"/>
      <c r="H530" s="4"/>
      <c r="I530" s="9"/>
      <c r="J530" s="9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9"/>
      <c r="H531" s="4"/>
      <c r="I531" s="9"/>
      <c r="J531" s="9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9"/>
      <c r="H532" s="4"/>
      <c r="I532" s="9"/>
      <c r="J532" s="9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9"/>
      <c r="H533" s="4"/>
      <c r="I533" s="9"/>
      <c r="J533" s="9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9"/>
      <c r="H534" s="4"/>
      <c r="I534" s="9"/>
      <c r="J534" s="9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9"/>
      <c r="H535" s="4"/>
      <c r="I535" s="9"/>
      <c r="J535" s="9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9"/>
      <c r="H536" s="4"/>
      <c r="I536" s="9"/>
      <c r="J536" s="9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9"/>
      <c r="H537" s="4"/>
      <c r="I537" s="9"/>
      <c r="J537" s="9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9"/>
      <c r="H538" s="4"/>
      <c r="I538" s="9"/>
      <c r="J538" s="9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9"/>
      <c r="H539" s="4"/>
      <c r="I539" s="9"/>
      <c r="J539" s="9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9"/>
      <c r="H540" s="4"/>
      <c r="I540" s="9"/>
      <c r="J540" s="9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9"/>
      <c r="H541" s="4"/>
      <c r="I541" s="9"/>
      <c r="J541" s="9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9"/>
      <c r="H542" s="4"/>
      <c r="I542" s="9"/>
      <c r="J542" s="9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9"/>
      <c r="H543" s="4"/>
      <c r="I543" s="9"/>
      <c r="J543" s="9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9"/>
      <c r="H544" s="4"/>
      <c r="I544" s="9"/>
      <c r="J544" s="9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9"/>
      <c r="H545" s="4"/>
      <c r="I545" s="9"/>
      <c r="J545" s="9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9"/>
      <c r="H546" s="4"/>
      <c r="I546" s="9"/>
      <c r="J546" s="9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9"/>
      <c r="H547" s="4"/>
      <c r="I547" s="9"/>
      <c r="J547" s="9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9"/>
      <c r="H548" s="4"/>
      <c r="I548" s="9"/>
      <c r="J548" s="9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9"/>
      <c r="H549" s="4"/>
      <c r="I549" s="9"/>
      <c r="J549" s="9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9"/>
      <c r="H550" s="4"/>
      <c r="I550" s="9"/>
      <c r="J550" s="9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9"/>
      <c r="H551" s="4"/>
      <c r="I551" s="9"/>
      <c r="J551" s="9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9"/>
      <c r="H552" s="4"/>
      <c r="I552" s="9"/>
      <c r="J552" s="9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9"/>
      <c r="H553" s="4"/>
      <c r="I553" s="9"/>
      <c r="J553" s="9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9"/>
      <c r="H554" s="4"/>
      <c r="I554" s="9"/>
      <c r="J554" s="9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9"/>
      <c r="H555" s="4"/>
      <c r="I555" s="9"/>
      <c r="J555" s="9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9"/>
      <c r="H556" s="4"/>
      <c r="I556" s="9"/>
      <c r="J556" s="9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9"/>
      <c r="H557" s="4"/>
      <c r="I557" s="9"/>
      <c r="J557" s="9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9"/>
      <c r="H558" s="4"/>
      <c r="I558" s="9"/>
      <c r="J558" s="9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9"/>
      <c r="H559" s="4"/>
      <c r="I559" s="9"/>
      <c r="J559" s="9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9"/>
      <c r="H560" s="4"/>
      <c r="I560" s="9"/>
      <c r="J560" s="9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9"/>
      <c r="H561" s="4"/>
      <c r="I561" s="9"/>
      <c r="J561" s="9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9"/>
      <c r="H562" s="4"/>
      <c r="I562" s="9"/>
      <c r="J562" s="9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9"/>
      <c r="H563" s="4"/>
      <c r="I563" s="9"/>
      <c r="J563" s="9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9"/>
      <c r="H564" s="4"/>
      <c r="I564" s="9"/>
      <c r="J564" s="9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9"/>
      <c r="H565" s="4"/>
      <c r="I565" s="9"/>
      <c r="J565" s="9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9"/>
      <c r="H566" s="4"/>
      <c r="I566" s="9"/>
      <c r="J566" s="9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9"/>
      <c r="H567" s="4"/>
      <c r="I567" s="9"/>
      <c r="J567" s="9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9"/>
      <c r="H568" s="4"/>
      <c r="I568" s="9"/>
      <c r="J568" s="9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9"/>
      <c r="H569" s="4"/>
      <c r="I569" s="9"/>
      <c r="J569" s="9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9"/>
      <c r="H570" s="4"/>
      <c r="I570" s="9"/>
      <c r="J570" s="9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9"/>
      <c r="H571" s="4"/>
      <c r="I571" s="9"/>
      <c r="J571" s="9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9"/>
      <c r="H572" s="4"/>
      <c r="I572" s="9"/>
      <c r="J572" s="9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9"/>
      <c r="H573" s="4"/>
      <c r="I573" s="9"/>
      <c r="J573" s="9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9"/>
      <c r="H574" s="4"/>
      <c r="I574" s="9"/>
      <c r="J574" s="9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9"/>
      <c r="H575" s="4"/>
      <c r="I575" s="9"/>
      <c r="J575" s="9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9"/>
      <c r="H576" s="4"/>
      <c r="I576" s="9"/>
      <c r="J576" s="9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9"/>
      <c r="H577" s="4"/>
      <c r="I577" s="9"/>
      <c r="J577" s="9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9"/>
      <c r="H578" s="4"/>
      <c r="I578" s="9"/>
      <c r="J578" s="9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9"/>
      <c r="H579" s="4"/>
      <c r="I579" s="9"/>
      <c r="J579" s="9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9"/>
      <c r="H580" s="4"/>
      <c r="I580" s="9"/>
      <c r="J580" s="9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9"/>
      <c r="H581" s="4"/>
      <c r="I581" s="9"/>
      <c r="J581" s="9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9"/>
      <c r="H582" s="4"/>
      <c r="I582" s="9"/>
      <c r="J582" s="9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9"/>
      <c r="H583" s="4"/>
      <c r="I583" s="9"/>
      <c r="J583" s="9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9"/>
      <c r="H584" s="4"/>
      <c r="I584" s="9"/>
      <c r="J584" s="9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9"/>
      <c r="H585" s="4"/>
      <c r="I585" s="9"/>
      <c r="J585" s="9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9"/>
      <c r="H586" s="4"/>
      <c r="I586" s="9"/>
      <c r="J586" s="9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9"/>
      <c r="H587" s="4"/>
      <c r="I587" s="9"/>
      <c r="J587" s="9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9"/>
      <c r="H588" s="4"/>
      <c r="I588" s="9"/>
      <c r="J588" s="9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9"/>
      <c r="H589" s="4"/>
      <c r="I589" s="9"/>
      <c r="J589" s="9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9"/>
      <c r="H590" s="4"/>
      <c r="I590" s="9"/>
      <c r="J590" s="9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9"/>
      <c r="H591" s="4"/>
      <c r="I591" s="9"/>
      <c r="J591" s="9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9"/>
      <c r="H592" s="4"/>
      <c r="I592" s="9"/>
      <c r="J592" s="9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9"/>
      <c r="H593" s="4"/>
      <c r="I593" s="9"/>
      <c r="J593" s="9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9"/>
      <c r="H594" s="4"/>
      <c r="I594" s="9"/>
      <c r="J594" s="9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9"/>
      <c r="H595" s="4"/>
      <c r="I595" s="9"/>
      <c r="J595" s="9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9"/>
      <c r="H596" s="4"/>
      <c r="I596" s="9"/>
      <c r="J596" s="9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9"/>
      <c r="H597" s="4"/>
      <c r="I597" s="9"/>
      <c r="J597" s="9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9"/>
      <c r="H598" s="4"/>
      <c r="I598" s="9"/>
      <c r="J598" s="9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9"/>
      <c r="H599" s="4"/>
      <c r="I599" s="9"/>
      <c r="J599" s="9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9"/>
      <c r="H600" s="4"/>
      <c r="I600" s="9"/>
      <c r="J600" s="9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9"/>
      <c r="H601" s="4"/>
      <c r="I601" s="9"/>
      <c r="J601" s="9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9"/>
      <c r="H602" s="4"/>
      <c r="I602" s="9"/>
      <c r="J602" s="9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9"/>
      <c r="H603" s="4"/>
      <c r="I603" s="9"/>
      <c r="J603" s="9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9"/>
      <c r="H604" s="4"/>
      <c r="I604" s="9"/>
      <c r="J604" s="9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9"/>
      <c r="H605" s="4"/>
      <c r="I605" s="9"/>
      <c r="J605" s="9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9"/>
      <c r="H606" s="4"/>
      <c r="I606" s="9"/>
      <c r="J606" s="9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9"/>
      <c r="H607" s="4"/>
      <c r="I607" s="9"/>
      <c r="J607" s="9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9"/>
      <c r="H608" s="4"/>
      <c r="I608" s="9"/>
      <c r="J608" s="9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9"/>
      <c r="H609" s="4"/>
      <c r="I609" s="9"/>
      <c r="J609" s="9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9"/>
      <c r="H610" s="4"/>
      <c r="I610" s="9"/>
      <c r="J610" s="9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9"/>
      <c r="H611" s="4"/>
      <c r="I611" s="9"/>
      <c r="J611" s="9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9"/>
      <c r="H612" s="4"/>
      <c r="I612" s="9"/>
      <c r="J612" s="9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9"/>
      <c r="H613" s="4"/>
      <c r="I613" s="9"/>
      <c r="J613" s="9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9"/>
      <c r="H614" s="4"/>
      <c r="I614" s="9"/>
      <c r="J614" s="9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9"/>
      <c r="H615" s="4"/>
      <c r="I615" s="9"/>
      <c r="J615" s="9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9"/>
      <c r="H616" s="4"/>
      <c r="I616" s="9"/>
      <c r="J616" s="9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9"/>
      <c r="H617" s="4"/>
      <c r="I617" s="9"/>
      <c r="J617" s="9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9"/>
      <c r="H618" s="4"/>
      <c r="I618" s="9"/>
      <c r="J618" s="9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9"/>
      <c r="H619" s="4"/>
      <c r="I619" s="9"/>
      <c r="J619" s="9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9"/>
      <c r="H620" s="4"/>
      <c r="I620" s="9"/>
      <c r="J620" s="9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9"/>
      <c r="H621" s="4"/>
      <c r="I621" s="9"/>
      <c r="J621" s="9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9"/>
      <c r="H622" s="4"/>
      <c r="I622" s="9"/>
      <c r="J622" s="9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9"/>
      <c r="H623" s="4"/>
      <c r="I623" s="9"/>
      <c r="J623" s="9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9"/>
      <c r="H624" s="4"/>
      <c r="I624" s="9"/>
      <c r="J624" s="9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9"/>
      <c r="H625" s="4"/>
      <c r="I625" s="9"/>
      <c r="J625" s="9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9"/>
      <c r="H626" s="4"/>
      <c r="I626" s="9"/>
      <c r="J626" s="9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9"/>
      <c r="H627" s="4"/>
      <c r="I627" s="9"/>
      <c r="J627" s="9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9"/>
      <c r="H628" s="4"/>
      <c r="I628" s="9"/>
      <c r="J628" s="9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9"/>
      <c r="H629" s="4"/>
      <c r="I629" s="9"/>
      <c r="J629" s="9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9"/>
      <c r="H630" s="4"/>
      <c r="I630" s="9"/>
      <c r="J630" s="9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9"/>
      <c r="H631" s="4"/>
      <c r="I631" s="9"/>
      <c r="J631" s="9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9"/>
      <c r="H632" s="4"/>
      <c r="I632" s="9"/>
      <c r="J632" s="9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9"/>
      <c r="H633" s="4"/>
      <c r="I633" s="9"/>
      <c r="J633" s="9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9"/>
      <c r="H634" s="4"/>
      <c r="I634" s="9"/>
      <c r="J634" s="9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9"/>
      <c r="H635" s="4"/>
      <c r="I635" s="9"/>
      <c r="J635" s="9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9"/>
      <c r="H636" s="4"/>
      <c r="I636" s="9"/>
      <c r="J636" s="9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9"/>
      <c r="H637" s="4"/>
      <c r="I637" s="9"/>
      <c r="J637" s="9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9"/>
      <c r="H638" s="4"/>
      <c r="I638" s="9"/>
      <c r="J638" s="9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9"/>
      <c r="H639" s="4"/>
      <c r="I639" s="9"/>
      <c r="J639" s="9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9"/>
      <c r="H640" s="4"/>
      <c r="I640" s="9"/>
      <c r="J640" s="9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9"/>
      <c r="H641" s="4"/>
      <c r="I641" s="9"/>
      <c r="J641" s="9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9"/>
      <c r="H642" s="4"/>
      <c r="I642" s="9"/>
      <c r="J642" s="9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9"/>
      <c r="H643" s="4"/>
      <c r="I643" s="9"/>
      <c r="J643" s="9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9"/>
      <c r="H644" s="4"/>
      <c r="I644" s="9"/>
      <c r="J644" s="9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9"/>
      <c r="H645" s="4"/>
      <c r="I645" s="9"/>
      <c r="J645" s="9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9"/>
      <c r="H646" s="4"/>
      <c r="I646" s="9"/>
      <c r="J646" s="9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9"/>
      <c r="H647" s="4"/>
      <c r="I647" s="9"/>
      <c r="J647" s="9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9"/>
      <c r="H648" s="4"/>
      <c r="I648" s="9"/>
      <c r="J648" s="9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9"/>
      <c r="H649" s="4"/>
      <c r="I649" s="9"/>
      <c r="J649" s="9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9"/>
      <c r="H650" s="4"/>
      <c r="I650" s="9"/>
      <c r="J650" s="9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9"/>
      <c r="H651" s="4"/>
      <c r="I651" s="9"/>
      <c r="J651" s="9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9"/>
      <c r="H652" s="4"/>
      <c r="I652" s="9"/>
      <c r="J652" s="9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9"/>
      <c r="H653" s="4"/>
      <c r="I653" s="9"/>
      <c r="J653" s="9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9"/>
      <c r="H654" s="4"/>
      <c r="I654" s="9"/>
      <c r="J654" s="9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9"/>
      <c r="H655" s="4"/>
      <c r="I655" s="9"/>
      <c r="J655" s="9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9"/>
      <c r="H656" s="4"/>
      <c r="I656" s="9"/>
      <c r="J656" s="9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9"/>
      <c r="H657" s="4"/>
      <c r="I657" s="9"/>
      <c r="J657" s="9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9"/>
      <c r="H658" s="4"/>
      <c r="I658" s="9"/>
      <c r="J658" s="9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9"/>
      <c r="H659" s="4"/>
      <c r="I659" s="9"/>
      <c r="J659" s="9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9"/>
      <c r="H660" s="4"/>
      <c r="I660" s="9"/>
      <c r="J660" s="9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9"/>
      <c r="H661" s="4"/>
      <c r="I661" s="9"/>
      <c r="J661" s="9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9"/>
      <c r="H662" s="4"/>
      <c r="I662" s="9"/>
      <c r="J662" s="9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9"/>
      <c r="H663" s="4"/>
      <c r="I663" s="9"/>
      <c r="J663" s="9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9"/>
      <c r="H664" s="4"/>
      <c r="I664" s="9"/>
      <c r="J664" s="9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9"/>
      <c r="H665" s="4"/>
      <c r="I665" s="9"/>
      <c r="J665" s="9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9"/>
      <c r="H666" s="4"/>
      <c r="I666" s="9"/>
      <c r="J666" s="9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9"/>
      <c r="H667" s="4"/>
      <c r="I667" s="9"/>
      <c r="J667" s="9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9"/>
      <c r="H668" s="4"/>
      <c r="I668" s="9"/>
      <c r="J668" s="9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9"/>
      <c r="H669" s="4"/>
      <c r="I669" s="9"/>
      <c r="J669" s="9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9"/>
      <c r="H670" s="4"/>
      <c r="I670" s="9"/>
      <c r="J670" s="9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9"/>
      <c r="H671" s="4"/>
      <c r="I671" s="9"/>
      <c r="J671" s="9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9"/>
      <c r="H672" s="4"/>
      <c r="I672" s="9"/>
      <c r="J672" s="9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9"/>
      <c r="H673" s="4"/>
      <c r="I673" s="9"/>
      <c r="J673" s="9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9"/>
      <c r="H674" s="4"/>
      <c r="I674" s="9"/>
      <c r="J674" s="9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9"/>
      <c r="H675" s="4"/>
      <c r="I675" s="9"/>
      <c r="J675" s="9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9"/>
      <c r="H676" s="4"/>
      <c r="I676" s="9"/>
      <c r="J676" s="9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9"/>
      <c r="H677" s="4"/>
      <c r="I677" s="9"/>
      <c r="J677" s="9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9"/>
      <c r="H678" s="4"/>
      <c r="I678" s="9"/>
      <c r="J678" s="9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9"/>
      <c r="H679" s="4"/>
      <c r="I679" s="9"/>
      <c r="J679" s="9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9"/>
      <c r="H680" s="4"/>
      <c r="I680" s="9"/>
      <c r="J680" s="9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9"/>
      <c r="H681" s="4"/>
      <c r="I681" s="9"/>
      <c r="J681" s="9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9"/>
      <c r="H682" s="4"/>
      <c r="I682" s="9"/>
      <c r="J682" s="9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9"/>
      <c r="H683" s="4"/>
      <c r="I683" s="9"/>
      <c r="J683" s="9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9"/>
      <c r="H684" s="4"/>
      <c r="I684" s="9"/>
      <c r="J684" s="9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9"/>
      <c r="H685" s="4"/>
      <c r="I685" s="9"/>
      <c r="J685" s="9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9"/>
      <c r="H686" s="4"/>
      <c r="I686" s="9"/>
      <c r="J686" s="9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9"/>
      <c r="H687" s="4"/>
      <c r="I687" s="9"/>
      <c r="J687" s="9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9"/>
      <c r="H688" s="4"/>
      <c r="I688" s="9"/>
      <c r="J688" s="9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9"/>
      <c r="H689" s="4"/>
      <c r="I689" s="9"/>
      <c r="J689" s="9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9"/>
      <c r="H690" s="4"/>
      <c r="I690" s="9"/>
      <c r="J690" s="9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9"/>
      <c r="H691" s="4"/>
      <c r="I691" s="9"/>
      <c r="J691" s="9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9"/>
      <c r="H692" s="4"/>
      <c r="I692" s="9"/>
      <c r="J692" s="9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9"/>
      <c r="H693" s="4"/>
      <c r="I693" s="9"/>
      <c r="J693" s="9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9"/>
      <c r="H694" s="4"/>
      <c r="I694" s="9"/>
      <c r="J694" s="9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9"/>
      <c r="H695" s="4"/>
      <c r="I695" s="9"/>
      <c r="J695" s="9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9"/>
      <c r="H696" s="4"/>
      <c r="I696" s="9"/>
      <c r="J696" s="9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9"/>
      <c r="H697" s="4"/>
      <c r="I697" s="9"/>
      <c r="J697" s="9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9"/>
      <c r="H698" s="4"/>
      <c r="I698" s="9"/>
      <c r="J698" s="9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9"/>
      <c r="H699" s="4"/>
      <c r="I699" s="9"/>
      <c r="J699" s="9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9"/>
      <c r="H700" s="4"/>
      <c r="I700" s="9"/>
      <c r="J700" s="9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9"/>
      <c r="H701" s="4"/>
      <c r="I701" s="9"/>
      <c r="J701" s="9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9"/>
      <c r="H702" s="4"/>
      <c r="I702" s="9"/>
      <c r="J702" s="9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9"/>
      <c r="H703" s="4"/>
      <c r="I703" s="9"/>
      <c r="J703" s="9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9"/>
      <c r="H704" s="4"/>
      <c r="I704" s="9"/>
      <c r="J704" s="9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9"/>
      <c r="H705" s="4"/>
      <c r="I705" s="9"/>
      <c r="J705" s="9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9"/>
      <c r="H706" s="4"/>
      <c r="I706" s="9"/>
      <c r="J706" s="9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9"/>
      <c r="H707" s="4"/>
      <c r="I707" s="9"/>
      <c r="J707" s="9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9"/>
      <c r="H708" s="4"/>
      <c r="I708" s="9"/>
      <c r="J708" s="9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9"/>
      <c r="H709" s="4"/>
      <c r="I709" s="9"/>
      <c r="J709" s="9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9"/>
      <c r="H710" s="4"/>
      <c r="I710" s="9"/>
      <c r="J710" s="9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9"/>
      <c r="H711" s="4"/>
      <c r="I711" s="9"/>
      <c r="J711" s="9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9"/>
      <c r="H712" s="4"/>
      <c r="I712" s="9"/>
      <c r="J712" s="9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9"/>
      <c r="H713" s="4"/>
      <c r="I713" s="9"/>
      <c r="J713" s="9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9"/>
      <c r="H714" s="4"/>
      <c r="I714" s="9"/>
      <c r="J714" s="9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9"/>
      <c r="H715" s="4"/>
      <c r="I715" s="9"/>
      <c r="J715" s="9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9"/>
      <c r="H716" s="4"/>
      <c r="I716" s="9"/>
      <c r="J716" s="9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9"/>
      <c r="H717" s="4"/>
      <c r="I717" s="9"/>
      <c r="J717" s="9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9"/>
      <c r="H718" s="4"/>
      <c r="I718" s="9"/>
      <c r="J718" s="9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9"/>
      <c r="H719" s="4"/>
      <c r="I719" s="9"/>
      <c r="J719" s="9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9"/>
      <c r="H720" s="4"/>
      <c r="I720" s="9"/>
      <c r="J720" s="9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9"/>
      <c r="H721" s="4"/>
      <c r="I721" s="9"/>
      <c r="J721" s="9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9"/>
      <c r="H722" s="4"/>
      <c r="I722" s="9"/>
      <c r="J722" s="9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9"/>
      <c r="H723" s="4"/>
      <c r="I723" s="9"/>
      <c r="J723" s="9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9"/>
      <c r="H724" s="4"/>
      <c r="I724" s="9"/>
      <c r="J724" s="9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9"/>
      <c r="H725" s="4"/>
      <c r="I725" s="9"/>
      <c r="J725" s="9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9"/>
      <c r="H726" s="4"/>
      <c r="I726" s="9"/>
      <c r="J726" s="9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9"/>
      <c r="H727" s="4"/>
      <c r="I727" s="9"/>
      <c r="J727" s="9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9"/>
      <c r="H728" s="4"/>
      <c r="I728" s="9"/>
      <c r="J728" s="9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9"/>
      <c r="H729" s="4"/>
      <c r="I729" s="9"/>
      <c r="J729" s="9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9"/>
      <c r="H730" s="4"/>
      <c r="I730" s="9"/>
      <c r="J730" s="9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9"/>
      <c r="H731" s="4"/>
      <c r="I731" s="9"/>
      <c r="J731" s="9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9"/>
      <c r="H732" s="4"/>
      <c r="I732" s="9"/>
      <c r="J732" s="9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9"/>
      <c r="H733" s="4"/>
      <c r="I733" s="9"/>
      <c r="J733" s="9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9"/>
      <c r="H734" s="4"/>
      <c r="I734" s="9"/>
      <c r="J734" s="9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9"/>
      <c r="H735" s="4"/>
      <c r="I735" s="9"/>
      <c r="J735" s="9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9"/>
      <c r="H736" s="4"/>
      <c r="I736" s="9"/>
      <c r="J736" s="9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9"/>
      <c r="H737" s="4"/>
      <c r="I737" s="9"/>
      <c r="J737" s="9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9"/>
      <c r="H738" s="4"/>
      <c r="I738" s="9"/>
      <c r="J738" s="9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9"/>
      <c r="H739" s="4"/>
      <c r="I739" s="9"/>
      <c r="J739" s="9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9"/>
      <c r="H740" s="4"/>
      <c r="I740" s="9"/>
      <c r="J740" s="9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9"/>
      <c r="H741" s="4"/>
      <c r="I741" s="9"/>
      <c r="J741" s="9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9"/>
      <c r="H742" s="4"/>
      <c r="I742" s="9"/>
      <c r="J742" s="9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9"/>
      <c r="H743" s="4"/>
      <c r="I743" s="9"/>
      <c r="J743" s="9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9"/>
      <c r="H744" s="4"/>
      <c r="I744" s="9"/>
      <c r="J744" s="9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9"/>
      <c r="H745" s="4"/>
      <c r="I745" s="9"/>
      <c r="J745" s="9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9"/>
      <c r="H746" s="4"/>
      <c r="I746" s="9"/>
      <c r="J746" s="9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9"/>
      <c r="H747" s="4"/>
      <c r="I747" s="9"/>
      <c r="J747" s="9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9"/>
      <c r="H748" s="4"/>
      <c r="I748" s="9"/>
      <c r="J748" s="9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9"/>
      <c r="H749" s="4"/>
      <c r="I749" s="9"/>
      <c r="J749" s="9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9"/>
      <c r="H750" s="4"/>
      <c r="I750" s="9"/>
      <c r="J750" s="9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9"/>
      <c r="H751" s="4"/>
      <c r="I751" s="9"/>
      <c r="J751" s="9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9"/>
      <c r="H752" s="4"/>
      <c r="I752" s="9"/>
      <c r="J752" s="9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9"/>
      <c r="H753" s="4"/>
      <c r="I753" s="9"/>
      <c r="J753" s="9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9"/>
      <c r="H754" s="4"/>
      <c r="I754" s="9"/>
      <c r="J754" s="9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9"/>
      <c r="H755" s="4"/>
      <c r="I755" s="9"/>
      <c r="J755" s="9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9"/>
      <c r="H756" s="4"/>
      <c r="I756" s="9"/>
      <c r="J756" s="9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9"/>
      <c r="H757" s="4"/>
      <c r="I757" s="9"/>
      <c r="J757" s="9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9"/>
      <c r="H758" s="4"/>
      <c r="I758" s="9"/>
      <c r="J758" s="9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9"/>
      <c r="H759" s="4"/>
      <c r="I759" s="9"/>
      <c r="J759" s="9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9"/>
      <c r="H760" s="4"/>
      <c r="I760" s="9"/>
      <c r="J760" s="9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9"/>
      <c r="H761" s="4"/>
      <c r="I761" s="9"/>
      <c r="J761" s="9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9"/>
      <c r="H762" s="4"/>
      <c r="I762" s="9"/>
      <c r="J762" s="9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9"/>
      <c r="H763" s="4"/>
      <c r="I763" s="9"/>
      <c r="J763" s="9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9"/>
      <c r="H764" s="4"/>
      <c r="I764" s="9"/>
      <c r="J764" s="9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9"/>
      <c r="H765" s="4"/>
      <c r="I765" s="9"/>
      <c r="J765" s="9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9"/>
      <c r="H766" s="4"/>
      <c r="I766" s="9"/>
      <c r="J766" s="9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9"/>
      <c r="H767" s="4"/>
      <c r="I767" s="9"/>
      <c r="J767" s="9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9"/>
      <c r="H768" s="4"/>
      <c r="I768" s="9"/>
      <c r="J768" s="9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9"/>
      <c r="H769" s="4"/>
      <c r="I769" s="9"/>
      <c r="J769" s="9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9"/>
      <c r="H770" s="4"/>
      <c r="I770" s="9"/>
      <c r="J770" s="9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9"/>
      <c r="H771" s="4"/>
      <c r="I771" s="9"/>
      <c r="J771" s="9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9"/>
      <c r="H772" s="4"/>
      <c r="I772" s="9"/>
      <c r="J772" s="9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9"/>
      <c r="H773" s="4"/>
      <c r="I773" s="9"/>
      <c r="J773" s="9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9"/>
      <c r="H774" s="4"/>
      <c r="I774" s="9"/>
      <c r="J774" s="9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9"/>
      <c r="H775" s="4"/>
      <c r="I775" s="9"/>
      <c r="J775" s="9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9"/>
      <c r="H776" s="4"/>
      <c r="I776" s="9"/>
      <c r="J776" s="9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9"/>
      <c r="H777" s="4"/>
      <c r="I777" s="9"/>
      <c r="J777" s="9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9"/>
      <c r="H778" s="4"/>
      <c r="I778" s="9"/>
      <c r="J778" s="9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9"/>
      <c r="H779" s="4"/>
      <c r="I779" s="9"/>
      <c r="J779" s="9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9"/>
      <c r="H780" s="4"/>
      <c r="I780" s="9"/>
      <c r="J780" s="9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9"/>
      <c r="H781" s="4"/>
      <c r="I781" s="9"/>
      <c r="J781" s="9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9"/>
      <c r="H782" s="4"/>
      <c r="I782" s="9"/>
      <c r="J782" s="9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9"/>
      <c r="H783" s="4"/>
      <c r="I783" s="9"/>
      <c r="J783" s="9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9"/>
      <c r="H784" s="4"/>
      <c r="I784" s="9"/>
      <c r="J784" s="9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9"/>
      <c r="H785" s="4"/>
      <c r="I785" s="9"/>
      <c r="J785" s="9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9"/>
      <c r="H786" s="4"/>
      <c r="I786" s="9"/>
      <c r="J786" s="9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9"/>
      <c r="H787" s="4"/>
      <c r="I787" s="9"/>
      <c r="J787" s="9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9"/>
      <c r="H788" s="4"/>
      <c r="I788" s="9"/>
      <c r="J788" s="9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9"/>
      <c r="H789" s="4"/>
      <c r="I789" s="9"/>
      <c r="J789" s="9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9"/>
      <c r="H790" s="4"/>
      <c r="I790" s="9"/>
      <c r="J790" s="9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9"/>
      <c r="H791" s="4"/>
      <c r="I791" s="9"/>
      <c r="J791" s="9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9"/>
      <c r="H792" s="4"/>
      <c r="I792" s="9"/>
      <c r="J792" s="9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9"/>
      <c r="H793" s="4"/>
      <c r="I793" s="9"/>
      <c r="J793" s="9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9"/>
      <c r="H794" s="4"/>
      <c r="I794" s="9"/>
      <c r="J794" s="9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9"/>
      <c r="H795" s="4"/>
      <c r="I795" s="9"/>
      <c r="J795" s="9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9"/>
      <c r="H796" s="4"/>
      <c r="I796" s="9"/>
      <c r="J796" s="9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9"/>
      <c r="H797" s="4"/>
      <c r="I797" s="9"/>
      <c r="J797" s="9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9"/>
      <c r="H798" s="4"/>
      <c r="I798" s="9"/>
      <c r="J798" s="9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9"/>
      <c r="H799" s="4"/>
      <c r="I799" s="9"/>
      <c r="J799" s="9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9"/>
      <c r="H800" s="4"/>
      <c r="I800" s="9"/>
      <c r="J800" s="9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9"/>
      <c r="H801" s="4"/>
      <c r="I801" s="9"/>
      <c r="J801" s="9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9"/>
      <c r="H802" s="4"/>
      <c r="I802" s="9"/>
      <c r="J802" s="9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9"/>
      <c r="H803" s="4"/>
      <c r="I803" s="9"/>
      <c r="J803" s="9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9"/>
      <c r="H804" s="4"/>
      <c r="I804" s="9"/>
      <c r="J804" s="9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9"/>
      <c r="H805" s="4"/>
      <c r="I805" s="9"/>
      <c r="J805" s="9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9"/>
      <c r="H806" s="4"/>
      <c r="I806" s="9"/>
      <c r="J806" s="9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9"/>
      <c r="H807" s="4"/>
      <c r="I807" s="9"/>
      <c r="J807" s="9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9"/>
      <c r="H808" s="4"/>
      <c r="I808" s="9"/>
      <c r="J808" s="9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9"/>
      <c r="H809" s="4"/>
      <c r="I809" s="9"/>
      <c r="J809" s="9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9"/>
      <c r="H810" s="4"/>
      <c r="I810" s="9"/>
      <c r="J810" s="9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9"/>
      <c r="H811" s="4"/>
      <c r="I811" s="9"/>
      <c r="J811" s="9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9"/>
      <c r="H812" s="4"/>
      <c r="I812" s="9"/>
      <c r="J812" s="9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9"/>
      <c r="H813" s="4"/>
      <c r="I813" s="9"/>
      <c r="J813" s="9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9"/>
      <c r="H814" s="4"/>
      <c r="I814" s="9"/>
      <c r="J814" s="9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9"/>
      <c r="H815" s="4"/>
      <c r="I815" s="9"/>
      <c r="J815" s="9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9"/>
      <c r="H816" s="4"/>
      <c r="I816" s="9"/>
      <c r="J816" s="9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9"/>
      <c r="H817" s="4"/>
      <c r="I817" s="9"/>
      <c r="J817" s="9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9"/>
      <c r="H818" s="4"/>
      <c r="I818" s="9"/>
      <c r="J818" s="9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9"/>
      <c r="H819" s="4"/>
      <c r="I819" s="9"/>
      <c r="J819" s="9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9"/>
      <c r="H820" s="4"/>
      <c r="I820" s="9"/>
      <c r="J820" s="9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9"/>
      <c r="H821" s="4"/>
      <c r="I821" s="9"/>
      <c r="J821" s="9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9"/>
      <c r="H822" s="4"/>
      <c r="I822" s="9"/>
      <c r="J822" s="9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9"/>
      <c r="H823" s="4"/>
      <c r="I823" s="9"/>
      <c r="J823" s="9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9"/>
      <c r="H824" s="4"/>
      <c r="I824" s="9"/>
      <c r="J824" s="9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9"/>
      <c r="H825" s="4"/>
      <c r="I825" s="9"/>
      <c r="J825" s="9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9"/>
      <c r="H826" s="4"/>
      <c r="I826" s="9"/>
      <c r="J826" s="9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9"/>
      <c r="H827" s="4"/>
      <c r="I827" s="9"/>
      <c r="J827" s="9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9"/>
      <c r="H828" s="4"/>
      <c r="I828" s="9"/>
      <c r="J828" s="9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9"/>
      <c r="H829" s="4"/>
      <c r="I829" s="9"/>
      <c r="J829" s="9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9"/>
      <c r="H830" s="4"/>
      <c r="I830" s="9"/>
      <c r="J830" s="9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9"/>
      <c r="H831" s="4"/>
      <c r="I831" s="9"/>
      <c r="J831" s="9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9"/>
      <c r="H832" s="4"/>
      <c r="I832" s="9"/>
      <c r="J832" s="9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9"/>
      <c r="H833" s="4"/>
      <c r="I833" s="9"/>
      <c r="J833" s="9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9"/>
      <c r="H834" s="4"/>
      <c r="I834" s="9"/>
      <c r="J834" s="9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9"/>
      <c r="H835" s="4"/>
      <c r="I835" s="9"/>
      <c r="J835" s="9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9"/>
      <c r="H836" s="4"/>
      <c r="I836" s="9"/>
      <c r="J836" s="9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9"/>
      <c r="H837" s="4"/>
      <c r="I837" s="9"/>
      <c r="J837" s="9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9"/>
      <c r="H838" s="4"/>
      <c r="I838" s="9"/>
      <c r="J838" s="9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9"/>
      <c r="H839" s="4"/>
      <c r="I839" s="9"/>
      <c r="J839" s="9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9"/>
      <c r="H840" s="4"/>
      <c r="I840" s="9"/>
      <c r="J840" s="9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9"/>
      <c r="H841" s="4"/>
      <c r="I841" s="9"/>
      <c r="J841" s="9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9"/>
      <c r="H842" s="4"/>
      <c r="I842" s="9"/>
      <c r="J842" s="9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9"/>
      <c r="H843" s="4"/>
      <c r="I843" s="9"/>
      <c r="J843" s="9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9"/>
      <c r="H844" s="4"/>
      <c r="I844" s="9"/>
      <c r="J844" s="9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9"/>
      <c r="H845" s="4"/>
      <c r="I845" s="9"/>
      <c r="J845" s="9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9"/>
      <c r="H846" s="4"/>
      <c r="I846" s="9"/>
      <c r="J846" s="9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9"/>
      <c r="H847" s="4"/>
      <c r="I847" s="9"/>
      <c r="J847" s="9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9"/>
      <c r="H848" s="4"/>
      <c r="I848" s="9"/>
      <c r="J848" s="9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9"/>
      <c r="H849" s="4"/>
      <c r="I849" s="9"/>
      <c r="J849" s="9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9"/>
      <c r="H850" s="4"/>
      <c r="I850" s="9"/>
      <c r="J850" s="9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9"/>
      <c r="H851" s="4"/>
      <c r="I851" s="9"/>
      <c r="J851" s="9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9"/>
      <c r="H852" s="4"/>
      <c r="I852" s="9"/>
      <c r="J852" s="9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9"/>
      <c r="H853" s="4"/>
      <c r="I853" s="9"/>
      <c r="J853" s="9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9"/>
      <c r="H854" s="4"/>
      <c r="I854" s="9"/>
      <c r="J854" s="9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9"/>
      <c r="H855" s="4"/>
      <c r="I855" s="9"/>
      <c r="J855" s="9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9"/>
      <c r="H856" s="4"/>
      <c r="I856" s="9"/>
      <c r="J856" s="9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9"/>
      <c r="H857" s="4"/>
      <c r="I857" s="9"/>
      <c r="J857" s="9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9"/>
      <c r="H858" s="4"/>
      <c r="I858" s="9"/>
      <c r="J858" s="9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9"/>
      <c r="H859" s="4"/>
      <c r="I859" s="9"/>
      <c r="J859" s="9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9"/>
      <c r="H860" s="4"/>
      <c r="I860" s="9"/>
      <c r="J860" s="9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9"/>
      <c r="H861" s="4"/>
      <c r="I861" s="9"/>
      <c r="J861" s="9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9"/>
      <c r="H862" s="4"/>
      <c r="I862" s="9"/>
      <c r="J862" s="9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9"/>
      <c r="H863" s="4"/>
      <c r="I863" s="9"/>
      <c r="J863" s="9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9"/>
      <c r="H864" s="4"/>
      <c r="I864" s="9"/>
      <c r="J864" s="9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9"/>
      <c r="H865" s="4"/>
      <c r="I865" s="9"/>
      <c r="J865" s="9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9"/>
      <c r="H866" s="4"/>
      <c r="I866" s="9"/>
      <c r="J866" s="9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9"/>
      <c r="H867" s="4"/>
      <c r="I867" s="9"/>
      <c r="J867" s="9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9"/>
      <c r="H868" s="4"/>
      <c r="I868" s="9"/>
      <c r="J868" s="9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9"/>
      <c r="H869" s="4"/>
      <c r="I869" s="9"/>
      <c r="J869" s="9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9"/>
      <c r="H870" s="4"/>
      <c r="I870" s="9"/>
      <c r="J870" s="9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9"/>
      <c r="H871" s="4"/>
      <c r="I871" s="9"/>
      <c r="J871" s="9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9"/>
      <c r="H872" s="4"/>
      <c r="I872" s="9"/>
      <c r="J872" s="9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9"/>
      <c r="H873" s="4"/>
      <c r="I873" s="9"/>
      <c r="J873" s="9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9"/>
      <c r="H874" s="4"/>
      <c r="I874" s="9"/>
      <c r="J874" s="9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9"/>
      <c r="H875" s="4"/>
      <c r="I875" s="9"/>
      <c r="J875" s="9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9"/>
      <c r="H876" s="4"/>
      <c r="I876" s="9"/>
      <c r="J876" s="9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9"/>
      <c r="H877" s="4"/>
      <c r="I877" s="9"/>
      <c r="J877" s="9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9"/>
      <c r="H878" s="4"/>
      <c r="I878" s="9"/>
      <c r="J878" s="9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9"/>
      <c r="H879" s="4"/>
      <c r="I879" s="9"/>
      <c r="J879" s="9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9"/>
      <c r="H880" s="4"/>
      <c r="I880" s="9"/>
      <c r="J880" s="9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9"/>
      <c r="H881" s="4"/>
      <c r="I881" s="9"/>
      <c r="J881" s="9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9"/>
      <c r="H882" s="4"/>
      <c r="I882" s="9"/>
      <c r="J882" s="9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9"/>
      <c r="H883" s="4"/>
      <c r="I883" s="9"/>
      <c r="J883" s="9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9"/>
      <c r="H884" s="4"/>
      <c r="I884" s="9"/>
      <c r="J884" s="9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9"/>
      <c r="H885" s="4"/>
      <c r="I885" s="9"/>
      <c r="J885" s="9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9"/>
      <c r="H886" s="4"/>
      <c r="I886" s="9"/>
      <c r="J886" s="9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9"/>
      <c r="H887" s="4"/>
      <c r="I887" s="9"/>
      <c r="J887" s="9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9"/>
      <c r="H888" s="4"/>
      <c r="I888" s="9"/>
      <c r="J888" s="9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9"/>
      <c r="H889" s="4"/>
      <c r="I889" s="9"/>
      <c r="J889" s="9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9"/>
      <c r="H890" s="4"/>
      <c r="I890" s="9"/>
      <c r="J890" s="9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9"/>
      <c r="H891" s="4"/>
      <c r="I891" s="9"/>
      <c r="J891" s="9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9"/>
      <c r="H892" s="4"/>
      <c r="I892" s="9"/>
      <c r="J892" s="9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9"/>
      <c r="H893" s="4"/>
      <c r="I893" s="9"/>
      <c r="J893" s="9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9"/>
      <c r="H894" s="4"/>
      <c r="I894" s="9"/>
      <c r="J894" s="9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9"/>
      <c r="H895" s="4"/>
      <c r="I895" s="9"/>
      <c r="J895" s="9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9"/>
      <c r="H896" s="4"/>
      <c r="I896" s="9"/>
      <c r="J896" s="9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9"/>
      <c r="H897" s="4"/>
      <c r="I897" s="9"/>
      <c r="J897" s="9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9"/>
      <c r="H898" s="4"/>
      <c r="I898" s="9"/>
      <c r="J898" s="9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9"/>
      <c r="H899" s="4"/>
      <c r="I899" s="9"/>
      <c r="J899" s="9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9"/>
      <c r="H900" s="4"/>
      <c r="I900" s="9"/>
      <c r="J900" s="9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9"/>
      <c r="H901" s="4"/>
      <c r="I901" s="9"/>
      <c r="J901" s="9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9"/>
      <c r="H902" s="4"/>
      <c r="I902" s="9"/>
      <c r="J902" s="9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9"/>
      <c r="H903" s="4"/>
      <c r="I903" s="9"/>
      <c r="J903" s="9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9"/>
      <c r="H904" s="4"/>
      <c r="I904" s="9"/>
      <c r="J904" s="9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9"/>
      <c r="H905" s="4"/>
      <c r="I905" s="9"/>
      <c r="J905" s="9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9"/>
      <c r="H906" s="4"/>
      <c r="I906" s="9"/>
      <c r="J906" s="9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9"/>
      <c r="H907" s="4"/>
      <c r="I907" s="9"/>
      <c r="J907" s="9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9"/>
      <c r="H908" s="4"/>
      <c r="I908" s="9"/>
      <c r="J908" s="9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9"/>
      <c r="H909" s="4"/>
      <c r="I909" s="9"/>
      <c r="J909" s="9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9"/>
      <c r="H910" s="4"/>
      <c r="I910" s="9"/>
      <c r="J910" s="9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9"/>
      <c r="H911" s="4"/>
      <c r="I911" s="9"/>
      <c r="J911" s="9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9"/>
      <c r="H912" s="4"/>
      <c r="I912" s="9"/>
      <c r="J912" s="9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9"/>
      <c r="H913" s="4"/>
      <c r="I913" s="9"/>
      <c r="J913" s="9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9"/>
      <c r="H914" s="4"/>
      <c r="I914" s="9"/>
      <c r="J914" s="9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9"/>
      <c r="H915" s="4"/>
      <c r="I915" s="9"/>
      <c r="J915" s="9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9"/>
      <c r="H916" s="4"/>
      <c r="I916" s="9"/>
      <c r="J916" s="9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9"/>
      <c r="H917" s="4"/>
      <c r="I917" s="9"/>
      <c r="J917" s="9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9"/>
      <c r="H918" s="4"/>
      <c r="I918" s="9"/>
      <c r="J918" s="9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9"/>
      <c r="H919" s="4"/>
      <c r="I919" s="9"/>
      <c r="J919" s="9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9"/>
      <c r="H920" s="4"/>
      <c r="I920" s="9"/>
      <c r="J920" s="9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9"/>
      <c r="H921" s="4"/>
      <c r="I921" s="9"/>
      <c r="J921" s="9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9"/>
      <c r="H922" s="4"/>
      <c r="I922" s="9"/>
      <c r="J922" s="9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9"/>
      <c r="H923" s="4"/>
      <c r="I923" s="9"/>
      <c r="J923" s="9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9"/>
      <c r="H924" s="4"/>
      <c r="I924" s="9"/>
      <c r="J924" s="9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9"/>
      <c r="H925" s="4"/>
      <c r="I925" s="9"/>
      <c r="J925" s="9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9"/>
      <c r="H926" s="4"/>
      <c r="I926" s="9"/>
      <c r="J926" s="9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9"/>
      <c r="H927" s="4"/>
      <c r="I927" s="9"/>
      <c r="J927" s="9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9"/>
      <c r="H928" s="4"/>
      <c r="I928" s="9"/>
      <c r="J928" s="9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9"/>
      <c r="H929" s="4"/>
      <c r="I929" s="9"/>
      <c r="J929" s="9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9"/>
      <c r="H930" s="4"/>
      <c r="I930" s="9"/>
      <c r="J930" s="9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9"/>
      <c r="H931" s="4"/>
      <c r="I931" s="9"/>
      <c r="J931" s="9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9"/>
      <c r="H932" s="4"/>
      <c r="I932" s="9"/>
      <c r="J932" s="9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9"/>
      <c r="H933" s="4"/>
      <c r="I933" s="9"/>
      <c r="J933" s="9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9"/>
      <c r="H934" s="4"/>
      <c r="I934" s="9"/>
      <c r="J934" s="9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9"/>
      <c r="H935" s="4"/>
      <c r="I935" s="9"/>
      <c r="J935" s="9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9"/>
      <c r="H936" s="4"/>
      <c r="I936" s="9"/>
      <c r="J936" s="9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9"/>
      <c r="H937" s="4"/>
      <c r="I937" s="9"/>
      <c r="J937" s="9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9"/>
      <c r="H938" s="4"/>
      <c r="I938" s="9"/>
      <c r="J938" s="9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9"/>
      <c r="H939" s="4"/>
      <c r="I939" s="9"/>
      <c r="J939" s="9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9"/>
      <c r="H940" s="4"/>
      <c r="I940" s="9"/>
      <c r="J940" s="9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9"/>
      <c r="H941" s="4"/>
      <c r="I941" s="9"/>
      <c r="J941" s="9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9"/>
      <c r="H942" s="4"/>
      <c r="I942" s="9"/>
      <c r="J942" s="9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9"/>
      <c r="H943" s="4"/>
      <c r="I943" s="9"/>
      <c r="J943" s="9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9"/>
      <c r="H944" s="4"/>
      <c r="I944" s="9"/>
      <c r="J944" s="9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9"/>
      <c r="H945" s="4"/>
      <c r="I945" s="9"/>
      <c r="J945" s="9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9"/>
      <c r="H946" s="4"/>
      <c r="I946" s="9"/>
      <c r="J946" s="9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9"/>
      <c r="H947" s="4"/>
      <c r="I947" s="9"/>
      <c r="J947" s="9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9"/>
      <c r="H948" s="4"/>
      <c r="I948" s="9"/>
      <c r="J948" s="9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9"/>
      <c r="H949" s="4"/>
      <c r="I949" s="9"/>
      <c r="J949" s="9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9"/>
      <c r="H950" s="4"/>
      <c r="I950" s="9"/>
      <c r="J950" s="9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9"/>
      <c r="H951" s="4"/>
      <c r="I951" s="9"/>
      <c r="J951" s="9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9"/>
      <c r="H952" s="4"/>
      <c r="I952" s="9"/>
      <c r="J952" s="9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9"/>
      <c r="H953" s="4"/>
      <c r="I953" s="9"/>
      <c r="J953" s="9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9"/>
      <c r="H954" s="4"/>
      <c r="I954" s="9"/>
      <c r="J954" s="9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9"/>
      <c r="H955" s="4"/>
      <c r="I955" s="9"/>
      <c r="J955" s="9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9"/>
      <c r="H956" s="4"/>
      <c r="I956" s="9"/>
      <c r="J956" s="9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9"/>
      <c r="H957" s="4"/>
      <c r="I957" s="9"/>
      <c r="J957" s="9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9"/>
      <c r="H958" s="4"/>
      <c r="I958" s="9"/>
      <c r="J958" s="9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9"/>
      <c r="H959" s="4"/>
      <c r="I959" s="9"/>
      <c r="J959" s="9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9"/>
      <c r="H960" s="4"/>
      <c r="I960" s="9"/>
      <c r="J960" s="9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9"/>
      <c r="H961" s="4"/>
      <c r="I961" s="9"/>
      <c r="J961" s="9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9"/>
      <c r="H962" s="4"/>
      <c r="I962" s="9"/>
      <c r="J962" s="9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9"/>
      <c r="H963" s="4"/>
      <c r="I963" s="9"/>
      <c r="J963" s="9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9"/>
      <c r="H964" s="4"/>
      <c r="I964" s="9"/>
      <c r="J964" s="9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9"/>
      <c r="H965" s="4"/>
      <c r="I965" s="9"/>
      <c r="J965" s="9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9"/>
      <c r="H966" s="4"/>
      <c r="I966" s="9"/>
      <c r="J966" s="9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9"/>
      <c r="H967" s="4"/>
      <c r="I967" s="9"/>
      <c r="J967" s="9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9"/>
      <c r="H968" s="4"/>
      <c r="I968" s="9"/>
      <c r="J968" s="9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9"/>
      <c r="H969" s="4"/>
      <c r="I969" s="9"/>
      <c r="J969" s="9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9"/>
      <c r="H970" s="4"/>
      <c r="I970" s="9"/>
      <c r="J970" s="9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9"/>
      <c r="H971" s="4"/>
      <c r="I971" s="9"/>
      <c r="J971" s="9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9"/>
      <c r="H972" s="4"/>
      <c r="I972" s="9"/>
      <c r="J972" s="9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9"/>
      <c r="H973" s="4"/>
      <c r="I973" s="9"/>
      <c r="J973" s="9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9"/>
      <c r="H974" s="4"/>
      <c r="I974" s="9"/>
      <c r="J974" s="9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9"/>
      <c r="H975" s="4"/>
      <c r="I975" s="9"/>
      <c r="J975" s="9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9"/>
      <c r="H976" s="4"/>
      <c r="I976" s="9"/>
      <c r="J976" s="9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9"/>
      <c r="H977" s="4"/>
      <c r="I977" s="9"/>
      <c r="J977" s="9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9"/>
      <c r="H978" s="4"/>
      <c r="I978" s="9"/>
      <c r="J978" s="9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9"/>
      <c r="H979" s="4"/>
      <c r="I979" s="9"/>
      <c r="J979" s="9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9"/>
      <c r="H980" s="4"/>
      <c r="I980" s="9"/>
      <c r="J980" s="9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9"/>
      <c r="H981" s="4"/>
      <c r="I981" s="9"/>
      <c r="J981" s="9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9"/>
      <c r="H982" s="4"/>
      <c r="I982" s="9"/>
      <c r="J982" s="9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9"/>
      <c r="H983" s="4"/>
      <c r="I983" s="9"/>
      <c r="J983" s="9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9"/>
      <c r="H984" s="4"/>
      <c r="I984" s="9"/>
      <c r="J984" s="9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9"/>
      <c r="H985" s="4"/>
      <c r="I985" s="9"/>
      <c r="J985" s="9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9"/>
      <c r="H986" s="4"/>
      <c r="I986" s="9"/>
      <c r="J986" s="9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9"/>
      <c r="H987" s="4"/>
      <c r="I987" s="9"/>
      <c r="J987" s="9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9"/>
      <c r="H988" s="4"/>
      <c r="I988" s="9"/>
      <c r="J988" s="9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9"/>
      <c r="H989" s="4"/>
      <c r="I989" s="9"/>
      <c r="J989" s="9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9"/>
      <c r="H990" s="4"/>
      <c r="I990" s="9"/>
      <c r="J990" s="9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9"/>
      <c r="H991" s="4"/>
      <c r="I991" s="9"/>
      <c r="J991" s="9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9"/>
      <c r="H992" s="4"/>
      <c r="I992" s="9"/>
      <c r="J992" s="9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9"/>
      <c r="H993" s="4"/>
      <c r="I993" s="9"/>
      <c r="J993" s="9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9"/>
      <c r="H994" s="4"/>
      <c r="I994" s="9"/>
      <c r="J994" s="9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9"/>
      <c r="H995" s="4"/>
      <c r="I995" s="9"/>
      <c r="J995" s="9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9"/>
      <c r="H996" s="4"/>
      <c r="I996" s="9"/>
      <c r="J996" s="9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mergeCells count="1">
    <mergeCell ref="A1:Y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3" max="3" width="11.5"/>
    <col customWidth="1" min="4" max="4" width="15.5"/>
  </cols>
  <sheetData>
    <row r="1">
      <c r="A1" s="1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4"/>
    </row>
    <row r="2">
      <c r="A2" s="5"/>
      <c r="B2" s="40">
        <v>105.0</v>
      </c>
      <c r="C2" s="40">
        <v>106.0</v>
      </c>
      <c r="D2" s="40">
        <v>107.0</v>
      </c>
      <c r="E2" s="40">
        <v>201.0</v>
      </c>
      <c r="F2" s="40">
        <v>202.0</v>
      </c>
      <c r="G2" s="40">
        <v>203.0</v>
      </c>
      <c r="H2" s="40">
        <v>204.0</v>
      </c>
      <c r="I2" s="40">
        <v>205.0</v>
      </c>
      <c r="J2" s="40">
        <v>206.0</v>
      </c>
      <c r="K2" s="40">
        <v>207.0</v>
      </c>
      <c r="L2" s="40">
        <v>301.0</v>
      </c>
      <c r="M2" s="40">
        <v>302.0</v>
      </c>
      <c r="N2" s="40">
        <v>303.0</v>
      </c>
      <c r="O2" s="40">
        <v>304.0</v>
      </c>
      <c r="P2" s="40">
        <v>305.0</v>
      </c>
      <c r="Q2" s="40">
        <v>306.0</v>
      </c>
      <c r="R2" s="40">
        <v>307.0</v>
      </c>
      <c r="S2" s="40">
        <v>401.0</v>
      </c>
      <c r="T2" s="40">
        <v>402.0</v>
      </c>
      <c r="U2" s="40">
        <v>403.0</v>
      </c>
      <c r="V2" s="40">
        <v>404.0</v>
      </c>
      <c r="W2" s="40">
        <v>405.0</v>
      </c>
      <c r="X2" s="40">
        <v>406.0</v>
      </c>
      <c r="Y2" s="40">
        <v>407.0</v>
      </c>
      <c r="Z2" s="7"/>
    </row>
    <row r="3">
      <c r="A3" s="41">
        <v>46023.0</v>
      </c>
      <c r="B3" s="9"/>
      <c r="C3" s="9"/>
      <c r="D3" s="9"/>
      <c r="E3" s="9"/>
      <c r="F3" s="42">
        <v>140000.0</v>
      </c>
      <c r="G3" s="9"/>
      <c r="H3" s="9"/>
      <c r="I3" s="9"/>
      <c r="J3" s="9"/>
      <c r="K3" s="10">
        <v>397320.0</v>
      </c>
      <c r="L3" s="9"/>
      <c r="M3" s="9"/>
      <c r="N3" s="9"/>
      <c r="O3" s="9"/>
      <c r="P3" s="9"/>
      <c r="Q3" s="9"/>
      <c r="R3" s="9"/>
      <c r="S3" s="43"/>
      <c r="T3" s="9"/>
      <c r="U3" s="9"/>
      <c r="V3" s="10">
        <v>610720.0</v>
      </c>
      <c r="W3" s="9"/>
      <c r="X3" s="10">
        <v>305944.0</v>
      </c>
      <c r="Y3" s="9"/>
      <c r="Z3" s="4"/>
    </row>
    <row r="4">
      <c r="A4" s="41">
        <v>46024.0</v>
      </c>
      <c r="B4" s="9"/>
      <c r="C4" s="9"/>
      <c r="D4" s="9"/>
      <c r="E4" s="9"/>
      <c r="F4" s="43"/>
      <c r="G4" s="9"/>
      <c r="H4" s="9"/>
      <c r="I4" s="9"/>
      <c r="J4" s="9"/>
      <c r="K4" s="11"/>
      <c r="L4" s="43"/>
      <c r="M4" s="9"/>
      <c r="N4" s="10">
        <v>143370.0</v>
      </c>
      <c r="O4" s="9"/>
      <c r="P4" s="43"/>
      <c r="Q4" s="43"/>
      <c r="R4" s="9"/>
      <c r="S4" s="9"/>
      <c r="T4" s="43"/>
      <c r="U4" s="9"/>
      <c r="V4" s="11"/>
      <c r="W4" s="9"/>
      <c r="X4" s="11"/>
      <c r="Y4" s="9"/>
      <c r="Z4" s="4"/>
    </row>
    <row r="5">
      <c r="A5" s="41">
        <v>46025.0</v>
      </c>
      <c r="B5" s="9"/>
      <c r="C5" s="9"/>
      <c r="D5" s="9"/>
      <c r="E5" s="43"/>
      <c r="F5" s="9"/>
      <c r="G5" s="9"/>
      <c r="H5" s="10">
        <v>317360.0</v>
      </c>
      <c r="I5" s="9"/>
      <c r="J5" s="9"/>
      <c r="K5" s="11"/>
      <c r="L5" s="9"/>
      <c r="M5" s="43"/>
      <c r="N5" s="9"/>
      <c r="O5" s="9"/>
      <c r="P5" s="9"/>
      <c r="Q5" s="9"/>
      <c r="R5" s="9"/>
      <c r="S5" s="44"/>
      <c r="T5" s="9"/>
      <c r="U5" s="9"/>
      <c r="V5" s="11"/>
      <c r="W5" s="9"/>
      <c r="X5" s="9"/>
      <c r="Y5" s="9"/>
      <c r="Z5" s="4"/>
    </row>
    <row r="6">
      <c r="A6" s="41">
        <v>46026.0</v>
      </c>
      <c r="B6" s="9"/>
      <c r="C6" s="9"/>
      <c r="D6" s="9"/>
      <c r="E6" s="10">
        <v>186734.0</v>
      </c>
      <c r="F6" s="9"/>
      <c r="G6" s="9"/>
      <c r="H6" s="12"/>
      <c r="I6" s="9"/>
      <c r="J6" s="43"/>
      <c r="K6" s="9"/>
      <c r="L6" s="44"/>
      <c r="M6" s="9"/>
      <c r="N6" s="10">
        <v>143370.0</v>
      </c>
      <c r="O6" s="9"/>
      <c r="P6" s="9"/>
      <c r="Q6" s="9"/>
      <c r="R6" s="9"/>
      <c r="S6" s="9"/>
      <c r="T6" s="9"/>
      <c r="U6" s="9"/>
      <c r="V6" s="11"/>
      <c r="W6" s="9"/>
      <c r="X6" s="9"/>
      <c r="Y6" s="9"/>
      <c r="Z6" s="4"/>
    </row>
    <row r="7">
      <c r="A7" s="41">
        <v>46027.0</v>
      </c>
      <c r="B7" s="9"/>
      <c r="C7" s="9"/>
      <c r="D7" s="9"/>
      <c r="E7" s="9"/>
      <c r="F7" s="9"/>
      <c r="G7" s="10">
        <v>138591.0</v>
      </c>
      <c r="H7" s="9"/>
      <c r="I7" s="9"/>
      <c r="J7" s="9"/>
      <c r="K7" s="9"/>
      <c r="L7" s="9"/>
      <c r="M7" s="9"/>
      <c r="N7" s="9"/>
      <c r="O7" s="9"/>
      <c r="P7" s="42">
        <v>170000.0</v>
      </c>
      <c r="Q7" s="9"/>
      <c r="R7" s="9"/>
      <c r="S7" s="9"/>
      <c r="T7" s="9"/>
      <c r="U7" s="9"/>
      <c r="V7" s="9"/>
      <c r="W7" s="9"/>
      <c r="X7" s="9"/>
      <c r="Y7" s="9"/>
      <c r="Z7" s="4"/>
    </row>
    <row r="8">
      <c r="A8" s="41">
        <v>46028.0</v>
      </c>
      <c r="B8" s="9"/>
      <c r="C8" s="9"/>
      <c r="D8" s="9"/>
      <c r="E8" s="10">
        <v>161723.0</v>
      </c>
      <c r="F8" s="9"/>
      <c r="G8" s="10">
        <v>138591.0</v>
      </c>
      <c r="I8" s="43"/>
      <c r="J8" s="9"/>
      <c r="K8" s="10">
        <v>236648.0</v>
      </c>
      <c r="L8" s="9"/>
      <c r="M8" s="10">
        <v>265534.0</v>
      </c>
      <c r="N8" s="10">
        <v>143370.0</v>
      </c>
      <c r="O8" s="10">
        <v>150838.0</v>
      </c>
      <c r="P8" s="42">
        <v>170000.0</v>
      </c>
      <c r="Q8" s="9"/>
      <c r="R8" s="43"/>
      <c r="S8" s="9"/>
      <c r="T8" s="9"/>
      <c r="U8" s="43"/>
      <c r="V8" s="10">
        <v>138944.0</v>
      </c>
      <c r="W8" s="9"/>
      <c r="X8" s="9"/>
      <c r="Y8" s="10">
        <v>144254.0</v>
      </c>
      <c r="Z8" s="4"/>
    </row>
    <row r="9">
      <c r="A9" s="41">
        <v>46029.0</v>
      </c>
      <c r="B9" s="43"/>
      <c r="C9" s="10">
        <v>164432.0</v>
      </c>
      <c r="D9" s="10">
        <v>146378.0</v>
      </c>
      <c r="E9" s="9"/>
      <c r="F9" s="9"/>
      <c r="G9" s="43"/>
      <c r="H9" s="10">
        <v>153990.0</v>
      </c>
      <c r="I9" s="9"/>
      <c r="J9" s="9"/>
      <c r="K9" s="11"/>
      <c r="L9" s="9"/>
      <c r="M9" s="11"/>
      <c r="N9" s="10">
        <v>143370.0</v>
      </c>
      <c r="O9" s="43"/>
      <c r="P9" s="43"/>
      <c r="Q9" s="9"/>
      <c r="R9" s="10">
        <v>153812.0</v>
      </c>
      <c r="S9" s="10">
        <v>195230.0</v>
      </c>
      <c r="T9" s="10">
        <v>170060.0</v>
      </c>
      <c r="U9" s="10">
        <v>150838.0</v>
      </c>
      <c r="V9" s="10">
        <v>138944.0</v>
      </c>
      <c r="W9" s="9"/>
      <c r="X9" s="10">
        <v>144254.0</v>
      </c>
      <c r="Y9" s="43"/>
      <c r="Z9" s="4"/>
    </row>
    <row r="10">
      <c r="A10" s="41">
        <v>46030.0</v>
      </c>
      <c r="B10" s="9"/>
      <c r="C10" s="9"/>
      <c r="D10" s="43"/>
      <c r="E10" s="43"/>
      <c r="F10" s="43"/>
      <c r="G10" s="10">
        <v>128324.0</v>
      </c>
      <c r="H10" s="43"/>
      <c r="I10" s="43"/>
      <c r="J10" s="9"/>
      <c r="K10" s="45"/>
      <c r="L10" s="43"/>
      <c r="M10" s="9"/>
      <c r="N10" s="43"/>
      <c r="O10" s="10">
        <v>376832.0</v>
      </c>
      <c r="P10" s="9"/>
      <c r="Q10" s="43"/>
      <c r="R10" s="43"/>
      <c r="S10" s="43"/>
      <c r="T10" s="9"/>
      <c r="U10" s="43"/>
      <c r="V10" s="9"/>
      <c r="W10" s="9"/>
      <c r="X10" s="9"/>
      <c r="Y10" s="9"/>
      <c r="Z10" s="4"/>
    </row>
    <row r="11">
      <c r="A11" s="41">
        <v>46031.0</v>
      </c>
      <c r="B11" s="43"/>
      <c r="C11" s="9"/>
      <c r="D11" s="9"/>
      <c r="E11" s="9"/>
      <c r="F11" s="43"/>
      <c r="G11" s="43"/>
      <c r="H11" s="9"/>
      <c r="I11" s="43"/>
      <c r="J11" s="43"/>
      <c r="K11" s="43"/>
      <c r="L11" s="9"/>
      <c r="M11" s="43"/>
      <c r="N11" s="43"/>
      <c r="O11" s="11"/>
      <c r="P11" s="9"/>
      <c r="Q11" s="43"/>
      <c r="R11" s="43"/>
      <c r="S11" s="9"/>
      <c r="T11" s="43"/>
      <c r="U11" s="43"/>
      <c r="V11" s="9"/>
      <c r="W11" s="9"/>
      <c r="X11" s="9"/>
      <c r="Y11" s="43"/>
      <c r="Z11" s="4"/>
    </row>
    <row r="12">
      <c r="A12" s="41">
        <v>46032.0</v>
      </c>
      <c r="B12" s="43"/>
      <c r="C12" s="9"/>
      <c r="D12" s="9"/>
      <c r="E12" s="9"/>
      <c r="F12" s="9"/>
      <c r="G12" s="43"/>
      <c r="H12" s="9"/>
      <c r="I12" s="9"/>
      <c r="J12" s="9"/>
      <c r="K12" s="9"/>
      <c r="L12" s="43"/>
      <c r="M12" s="10">
        <v>1402895.0</v>
      </c>
      <c r="N12" s="10">
        <v>129033.0</v>
      </c>
      <c r="O12" s="11"/>
      <c r="P12" s="9"/>
      <c r="Q12" s="9"/>
      <c r="R12" s="9"/>
      <c r="S12" s="9"/>
      <c r="T12" s="9"/>
      <c r="U12" s="9"/>
      <c r="V12" s="43"/>
      <c r="W12" s="43"/>
      <c r="X12" s="43"/>
      <c r="Y12" s="43"/>
      <c r="Z12" s="4"/>
    </row>
    <row r="13">
      <c r="A13" s="41">
        <v>46033.0</v>
      </c>
      <c r="B13" s="9"/>
      <c r="C13" s="9"/>
      <c r="D13" s="43"/>
      <c r="E13" s="43"/>
      <c r="F13" s="9"/>
      <c r="G13" s="43"/>
      <c r="H13" s="10">
        <v>129033.0</v>
      </c>
      <c r="I13" s="9"/>
      <c r="J13" s="9"/>
      <c r="K13" s="9"/>
      <c r="L13" s="9"/>
      <c r="M13" s="11"/>
      <c r="N13" s="43"/>
      <c r="O13" s="42">
        <v>258000.0</v>
      </c>
      <c r="P13" s="9"/>
      <c r="Q13" s="9"/>
      <c r="R13" s="43"/>
      <c r="S13" s="9"/>
      <c r="T13" s="9"/>
      <c r="U13" s="43"/>
      <c r="V13" s="43"/>
      <c r="W13" s="9"/>
      <c r="X13" s="9"/>
      <c r="Y13" s="43"/>
      <c r="Z13" s="4"/>
    </row>
    <row r="14">
      <c r="A14" s="41">
        <v>46034.0</v>
      </c>
      <c r="B14" s="9"/>
      <c r="C14" s="9"/>
      <c r="D14" s="42">
        <v>237000.0</v>
      </c>
      <c r="E14" s="10">
        <v>836996.0</v>
      </c>
      <c r="F14" s="9"/>
      <c r="G14" s="10">
        <v>138591.0</v>
      </c>
      <c r="H14" s="42">
        <v>140000.0</v>
      </c>
      <c r="I14" s="9"/>
      <c r="J14" s="9"/>
      <c r="K14" s="9"/>
      <c r="L14" s="9"/>
      <c r="M14" s="11"/>
      <c r="N14" s="43"/>
      <c r="O14" s="42"/>
      <c r="P14" s="9"/>
      <c r="Q14" s="10">
        <v>128748.0</v>
      </c>
      <c r="R14" s="9"/>
      <c r="S14" s="9"/>
      <c r="T14" s="9"/>
      <c r="U14" s="43"/>
      <c r="V14" s="9"/>
      <c r="W14" s="9"/>
      <c r="X14" s="9"/>
      <c r="Y14" s="9"/>
      <c r="Z14" s="4"/>
    </row>
    <row r="15">
      <c r="A15" s="41">
        <v>46035.0</v>
      </c>
      <c r="B15" s="9"/>
      <c r="C15" s="10">
        <v>200540.0</v>
      </c>
      <c r="D15" s="42"/>
      <c r="E15" s="10"/>
      <c r="F15" s="9"/>
      <c r="G15" s="10">
        <v>307980.0</v>
      </c>
      <c r="I15" s="9"/>
      <c r="J15" s="9"/>
      <c r="K15" s="10">
        <v>147440.0</v>
      </c>
      <c r="L15" s="10">
        <v>278278.0</v>
      </c>
      <c r="M15" s="11"/>
      <c r="N15" s="10">
        <v>286740.0</v>
      </c>
      <c r="O15" s="10">
        <v>156998.0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4"/>
    </row>
    <row r="16">
      <c r="A16" s="41">
        <v>46036.0</v>
      </c>
      <c r="B16" s="9"/>
      <c r="C16" s="43"/>
      <c r="D16" s="42">
        <v>237000.0</v>
      </c>
      <c r="E16" s="10"/>
      <c r="F16" s="46">
        <v>125000.0</v>
      </c>
      <c r="G16" s="10"/>
      <c r="H16" s="9"/>
      <c r="I16" s="9"/>
      <c r="J16" s="9"/>
      <c r="K16" s="10">
        <v>242136.0</v>
      </c>
      <c r="L16" s="10"/>
      <c r="M16" s="11"/>
      <c r="N16" s="10"/>
      <c r="O16" s="9"/>
      <c r="P16" s="9"/>
      <c r="Q16" s="9"/>
      <c r="R16" s="9"/>
      <c r="S16" s="10">
        <v>165184.0</v>
      </c>
      <c r="T16" s="10">
        <v>186734.0</v>
      </c>
      <c r="U16" s="9"/>
      <c r="V16" s="10">
        <v>168680.0</v>
      </c>
      <c r="W16" s="9"/>
      <c r="X16" s="9"/>
      <c r="Y16" s="10">
        <v>248508.0</v>
      </c>
      <c r="Z16" s="4"/>
    </row>
    <row r="17">
      <c r="A17" s="41">
        <v>46037.0</v>
      </c>
      <c r="B17" s="10">
        <v>128000.0</v>
      </c>
      <c r="C17" s="9"/>
      <c r="D17" s="42"/>
      <c r="E17" s="10"/>
      <c r="F17" s="9"/>
      <c r="G17" s="9"/>
      <c r="H17" s="9"/>
      <c r="I17" s="9"/>
      <c r="J17" s="9"/>
      <c r="K17" s="10"/>
      <c r="L17" s="9"/>
      <c r="M17" s="11"/>
      <c r="N17" s="9"/>
      <c r="O17" s="10">
        <v>133812.0</v>
      </c>
      <c r="P17" s="10">
        <v>208800.0</v>
      </c>
      <c r="Q17" s="9"/>
      <c r="R17" s="9"/>
      <c r="S17" s="9"/>
      <c r="T17" s="9"/>
      <c r="U17" s="9"/>
      <c r="V17" s="9"/>
      <c r="W17" s="10">
        <v>165184.0</v>
      </c>
      <c r="X17" s="9"/>
      <c r="Y17" s="11"/>
      <c r="Z17" s="4"/>
    </row>
    <row r="18">
      <c r="A18" s="41">
        <v>46038.0</v>
      </c>
      <c r="B18" s="9"/>
      <c r="C18" s="9"/>
      <c r="D18" s="42">
        <v>262000.0</v>
      </c>
      <c r="E18" s="10"/>
      <c r="F18" s="9"/>
      <c r="G18" s="43"/>
      <c r="H18" s="9"/>
      <c r="I18" s="9"/>
      <c r="J18" s="9"/>
      <c r="K18" s="9"/>
      <c r="L18" s="9"/>
      <c r="M18" s="11"/>
      <c r="N18" s="43"/>
      <c r="O18" s="43"/>
      <c r="P18" s="9"/>
      <c r="Q18" s="9"/>
      <c r="R18" s="9"/>
      <c r="S18" s="43"/>
      <c r="T18" s="9"/>
      <c r="U18" s="9"/>
      <c r="V18" s="9"/>
      <c r="W18" s="10">
        <v>165184.0</v>
      </c>
      <c r="X18" s="9"/>
      <c r="Y18" s="9"/>
      <c r="Z18" s="4"/>
    </row>
    <row r="19">
      <c r="A19" s="41">
        <v>46039.0</v>
      </c>
      <c r="B19" s="9"/>
      <c r="C19" s="9"/>
      <c r="D19" s="42"/>
      <c r="E19" s="9"/>
      <c r="F19" s="9"/>
      <c r="G19" s="43"/>
      <c r="H19" s="9"/>
      <c r="I19" s="9"/>
      <c r="J19" s="9"/>
      <c r="K19" s="9"/>
      <c r="L19" s="9"/>
      <c r="M19" s="11"/>
      <c r="N19" s="9"/>
      <c r="O19" s="43"/>
      <c r="P19" s="9"/>
      <c r="Q19" s="9"/>
      <c r="R19" s="43"/>
      <c r="S19" s="10">
        <v>165184.0</v>
      </c>
      <c r="T19" s="9"/>
      <c r="U19" s="9"/>
      <c r="V19" s="43"/>
      <c r="W19" s="9"/>
      <c r="X19" s="9"/>
      <c r="Y19" s="9"/>
      <c r="Z19" s="4"/>
    </row>
    <row r="20">
      <c r="A20" s="41">
        <v>46040.0</v>
      </c>
      <c r="B20" s="9"/>
      <c r="C20" s="9"/>
      <c r="D20" s="42">
        <v>360000.0</v>
      </c>
      <c r="E20" s="9"/>
      <c r="F20" s="9"/>
      <c r="G20" s="43"/>
      <c r="H20" s="9"/>
      <c r="I20" s="9"/>
      <c r="J20" s="9"/>
      <c r="K20" s="9"/>
      <c r="L20" s="9"/>
      <c r="M20" s="11"/>
      <c r="N20" s="42">
        <v>140000.0</v>
      </c>
      <c r="O20" s="42">
        <v>158000.0</v>
      </c>
      <c r="P20" s="9"/>
      <c r="Q20" s="9"/>
      <c r="R20" s="10">
        <v>133812.0</v>
      </c>
      <c r="S20" s="9"/>
      <c r="T20" s="9"/>
      <c r="U20" s="9"/>
      <c r="V20" s="9"/>
      <c r="W20" s="9"/>
      <c r="X20" s="9"/>
      <c r="Y20" s="9"/>
      <c r="Z20" s="4"/>
    </row>
    <row r="21">
      <c r="A21" s="41">
        <v>46041.0</v>
      </c>
      <c r="B21" s="9"/>
      <c r="C21" s="9"/>
      <c r="D21" s="42"/>
      <c r="E21" s="10">
        <v>358468.0</v>
      </c>
      <c r="F21" s="9"/>
      <c r="G21" s="10">
        <v>342200.0</v>
      </c>
      <c r="H21" s="9"/>
      <c r="I21" s="9"/>
      <c r="J21" s="9"/>
      <c r="K21" s="9"/>
      <c r="L21" s="9"/>
      <c r="M21" s="11"/>
      <c r="N21" s="10">
        <v>143370.0</v>
      </c>
      <c r="O21" s="9"/>
      <c r="P21" s="9"/>
      <c r="Q21" s="9"/>
      <c r="R21" s="9"/>
      <c r="S21" s="9"/>
      <c r="T21" s="42">
        <v>160000.0</v>
      </c>
      <c r="U21" s="43"/>
      <c r="V21" s="9"/>
      <c r="W21" s="10">
        <v>375460.0</v>
      </c>
      <c r="X21" s="9"/>
      <c r="Y21" s="9"/>
      <c r="Z21" s="4"/>
    </row>
    <row r="22">
      <c r="A22" s="41">
        <v>46042.0</v>
      </c>
      <c r="B22" s="46">
        <v>135000.0</v>
      </c>
      <c r="C22" s="9"/>
      <c r="D22" s="42"/>
      <c r="E22" s="10"/>
      <c r="F22" s="9"/>
      <c r="G22" s="10"/>
      <c r="H22" s="9"/>
      <c r="I22" s="9"/>
      <c r="J22" s="9"/>
      <c r="K22" s="9"/>
      <c r="L22" s="9"/>
      <c r="M22" s="42">
        <v>120000.0</v>
      </c>
      <c r="N22" s="10">
        <v>143370.0</v>
      </c>
      <c r="O22" s="9"/>
      <c r="P22" s="9"/>
      <c r="Q22" s="9"/>
      <c r="R22" s="9"/>
      <c r="S22" s="9"/>
      <c r="T22" s="9"/>
      <c r="U22" s="9"/>
      <c r="V22" s="43"/>
      <c r="W22" s="10"/>
      <c r="X22" s="9"/>
      <c r="Y22" s="9"/>
      <c r="Z22" s="4"/>
    </row>
    <row r="23">
      <c r="A23" s="41">
        <v>46043.0</v>
      </c>
      <c r="B23" s="9"/>
      <c r="C23" s="43"/>
      <c r="D23" s="9"/>
      <c r="E23" s="10">
        <v>191734.0</v>
      </c>
      <c r="F23" s="9"/>
      <c r="G23" s="10">
        <v>307980.0</v>
      </c>
      <c r="H23" s="9"/>
      <c r="I23" s="9"/>
      <c r="J23" s="9"/>
      <c r="K23" s="10">
        <v>127440.0</v>
      </c>
      <c r="L23" s="43"/>
      <c r="M23" s="9"/>
      <c r="N23" s="10">
        <v>286740.0</v>
      </c>
      <c r="O23" s="42">
        <v>140000.0</v>
      </c>
      <c r="P23" s="9"/>
      <c r="Q23" s="9"/>
      <c r="R23" s="9"/>
      <c r="S23" s="10">
        <v>200230.0</v>
      </c>
      <c r="T23" s="42">
        <v>300000.0</v>
      </c>
      <c r="U23" s="9"/>
      <c r="V23" s="10">
        <v>148680.0</v>
      </c>
      <c r="W23" s="10">
        <v>173680.0</v>
      </c>
      <c r="X23" s="9"/>
      <c r="Y23" s="10">
        <v>138060.0</v>
      </c>
      <c r="Z23" s="4"/>
    </row>
    <row r="24">
      <c r="A24" s="41">
        <v>46044.0</v>
      </c>
      <c r="B24" s="9"/>
      <c r="C24" s="9"/>
      <c r="D24" s="9"/>
      <c r="E24" s="9"/>
      <c r="F24" s="9"/>
      <c r="G24" s="10"/>
      <c r="H24" s="10">
        <v>148680.0</v>
      </c>
      <c r="I24" s="9"/>
      <c r="J24" s="9"/>
      <c r="K24" s="9"/>
      <c r="L24" s="9"/>
      <c r="M24" s="43"/>
      <c r="N24" s="10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4"/>
    </row>
    <row r="25">
      <c r="A25" s="41">
        <v>46045.0</v>
      </c>
      <c r="B25" s="9"/>
      <c r="C25" s="9"/>
      <c r="D25" s="9"/>
      <c r="E25" s="9"/>
      <c r="F25" s="9"/>
      <c r="G25" s="43"/>
      <c r="H25" s="9"/>
      <c r="I25" s="9"/>
      <c r="J25" s="9"/>
      <c r="K25" s="9"/>
      <c r="L25" s="9"/>
      <c r="M25" s="9"/>
      <c r="N25" s="10">
        <v>116820.0</v>
      </c>
      <c r="O25" s="9"/>
      <c r="P25" s="9"/>
      <c r="Q25" s="9"/>
      <c r="R25" s="43"/>
      <c r="S25" s="43"/>
      <c r="T25" s="9"/>
      <c r="U25" s="9"/>
      <c r="V25" s="9"/>
      <c r="W25" s="9"/>
      <c r="X25" s="9"/>
      <c r="Y25" s="9"/>
      <c r="Z25" s="4"/>
    </row>
    <row r="26">
      <c r="A26" s="41">
        <v>46046.0</v>
      </c>
      <c r="B26" s="9"/>
      <c r="C26" s="9"/>
      <c r="D26" s="9"/>
      <c r="E26" s="43"/>
      <c r="F26" s="43"/>
      <c r="G26" s="10">
        <v>116820.0</v>
      </c>
      <c r="H26" s="43"/>
      <c r="I26" s="9"/>
      <c r="J26" s="9"/>
      <c r="K26" s="43"/>
      <c r="L26" s="9"/>
      <c r="M26" s="9"/>
      <c r="N26" s="43"/>
      <c r="O26" s="43"/>
      <c r="P26" s="9"/>
      <c r="Q26" s="9"/>
      <c r="R26" s="9"/>
      <c r="S26" s="9"/>
      <c r="T26" s="43"/>
      <c r="U26" s="9"/>
      <c r="V26" s="43"/>
      <c r="W26" s="9"/>
      <c r="X26" s="9"/>
      <c r="Y26" s="9"/>
      <c r="Z26" s="4"/>
    </row>
    <row r="27">
      <c r="A27" s="41">
        <v>46047.0</v>
      </c>
      <c r="B27" s="9"/>
      <c r="C27" s="9"/>
      <c r="D27" s="9"/>
      <c r="E27" s="9"/>
      <c r="F27" s="9"/>
      <c r="G27" s="43"/>
      <c r="H27" s="9"/>
      <c r="I27" s="9"/>
      <c r="J27" s="9"/>
      <c r="K27" s="43"/>
      <c r="L27" s="9"/>
      <c r="M27" s="9"/>
      <c r="N27" s="9"/>
      <c r="O27" s="9"/>
      <c r="P27" s="9"/>
      <c r="Q27" s="9"/>
      <c r="R27" s="9"/>
      <c r="S27" s="46">
        <v>274825.0</v>
      </c>
      <c r="T27" s="10">
        <v>138280.0</v>
      </c>
      <c r="U27" s="9"/>
      <c r="V27" s="43"/>
      <c r="W27" s="9"/>
      <c r="X27" s="9"/>
      <c r="Y27" s="9"/>
      <c r="Z27" s="4"/>
    </row>
    <row r="28">
      <c r="A28" s="41">
        <v>46048.0</v>
      </c>
      <c r="B28" s="9"/>
      <c r="C28" s="9"/>
      <c r="D28" s="9"/>
      <c r="E28" s="9"/>
      <c r="F28" s="9"/>
      <c r="G28" s="10">
        <v>350460.0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47"/>
      <c r="T28" s="9"/>
      <c r="U28" s="9"/>
      <c r="V28" s="9"/>
      <c r="W28" s="9"/>
      <c r="X28" s="9"/>
      <c r="Y28" s="9"/>
      <c r="Z28" s="4"/>
    </row>
    <row r="29">
      <c r="A29" s="41">
        <v>46049.0</v>
      </c>
      <c r="C29" s="9"/>
      <c r="D29" s="10">
        <v>220789.0</v>
      </c>
      <c r="E29" s="42">
        <v>170000.0</v>
      </c>
      <c r="F29" s="9"/>
      <c r="G29" s="10"/>
      <c r="H29" s="9"/>
      <c r="I29" s="9"/>
      <c r="J29" s="9"/>
      <c r="K29" s="9"/>
      <c r="M29" s="9"/>
      <c r="N29" s="43"/>
      <c r="O29" s="10">
        <v>233640.0</v>
      </c>
      <c r="P29" s="10">
        <v>152440.0</v>
      </c>
      <c r="Q29" s="10">
        <v>251560.0</v>
      </c>
      <c r="R29" s="10">
        <f>129800+129800</f>
        <v>259600</v>
      </c>
      <c r="S29" s="10">
        <v>279880.0</v>
      </c>
      <c r="T29" s="10">
        <v>279880.0</v>
      </c>
      <c r="U29" s="10">
        <v>233640.0</v>
      </c>
      <c r="V29" s="10">
        <v>250307.0</v>
      </c>
      <c r="W29" s="9"/>
      <c r="X29" s="9"/>
      <c r="Y29" s="9"/>
      <c r="Z29" s="4"/>
    </row>
    <row r="30">
      <c r="A30" s="41">
        <v>46050.0</v>
      </c>
      <c r="B30" s="42">
        <v>170000.0</v>
      </c>
      <c r="C30" s="9"/>
      <c r="D30" s="10"/>
      <c r="E30" s="42">
        <v>170000.0</v>
      </c>
      <c r="F30" s="9"/>
      <c r="G30" s="10"/>
      <c r="H30" s="9"/>
      <c r="I30" s="46">
        <v>168752.0</v>
      </c>
      <c r="J30" s="42">
        <v>202503.0</v>
      </c>
      <c r="K30" s="9"/>
      <c r="M30" s="9"/>
      <c r="N30" s="9"/>
      <c r="O30" s="10"/>
      <c r="P30" s="10">
        <v>139940.0</v>
      </c>
      <c r="Q30" s="10"/>
      <c r="R30" s="10"/>
      <c r="S30" s="10"/>
      <c r="T30" s="10"/>
      <c r="U30" s="10"/>
      <c r="V30" s="10"/>
      <c r="W30" s="9"/>
      <c r="X30" s="9"/>
      <c r="Y30" s="10">
        <v>129320.0</v>
      </c>
      <c r="Z30" s="4"/>
    </row>
    <row r="31">
      <c r="A31" s="5" t="s">
        <v>2</v>
      </c>
      <c r="B31" s="20">
        <f t="shared" ref="B31:Y31" si="1">SUM(B3:B30)</f>
        <v>433000</v>
      </c>
      <c r="C31" s="20">
        <f t="shared" si="1"/>
        <v>364972</v>
      </c>
      <c r="D31" s="20">
        <f t="shared" si="1"/>
        <v>1463167</v>
      </c>
      <c r="E31" s="20">
        <f t="shared" si="1"/>
        <v>2075655</v>
      </c>
      <c r="F31" s="20">
        <f t="shared" si="1"/>
        <v>265000</v>
      </c>
      <c r="G31" s="20">
        <f t="shared" si="1"/>
        <v>1969537</v>
      </c>
      <c r="H31" s="20">
        <f t="shared" si="1"/>
        <v>889063</v>
      </c>
      <c r="I31" s="20">
        <f t="shared" si="1"/>
        <v>168752</v>
      </c>
      <c r="J31" s="20">
        <f t="shared" si="1"/>
        <v>202503</v>
      </c>
      <c r="K31" s="20">
        <f t="shared" si="1"/>
        <v>1150984</v>
      </c>
      <c r="L31" s="20">
        <f t="shared" si="1"/>
        <v>278278</v>
      </c>
      <c r="M31" s="20">
        <f t="shared" si="1"/>
        <v>1788429</v>
      </c>
      <c r="N31" s="20">
        <f t="shared" si="1"/>
        <v>1819553</v>
      </c>
      <c r="O31" s="20">
        <f t="shared" si="1"/>
        <v>1608120</v>
      </c>
      <c r="P31" s="20">
        <f t="shared" si="1"/>
        <v>841180</v>
      </c>
      <c r="Q31" s="20">
        <f t="shared" si="1"/>
        <v>380308</v>
      </c>
      <c r="R31" s="20">
        <f t="shared" si="1"/>
        <v>547224</v>
      </c>
      <c r="S31" s="20">
        <f t="shared" si="1"/>
        <v>1280533</v>
      </c>
      <c r="T31" s="20">
        <f t="shared" si="1"/>
        <v>1234954</v>
      </c>
      <c r="U31" s="20">
        <f t="shared" si="1"/>
        <v>384478</v>
      </c>
      <c r="V31" s="20">
        <f t="shared" si="1"/>
        <v>1456275</v>
      </c>
      <c r="W31" s="20">
        <f t="shared" si="1"/>
        <v>879508</v>
      </c>
      <c r="X31" s="20">
        <f t="shared" si="1"/>
        <v>450198</v>
      </c>
      <c r="Y31" s="20">
        <f t="shared" si="1"/>
        <v>660142</v>
      </c>
      <c r="Z31" s="20">
        <f t="shared" ref="Z31:Z32" si="2">SUM(B31:Y31)</f>
        <v>22591813</v>
      </c>
    </row>
    <row r="32">
      <c r="A32" s="21" t="s">
        <v>3</v>
      </c>
      <c r="B32" s="22">
        <v>3.0</v>
      </c>
      <c r="C32" s="22">
        <v>2.0</v>
      </c>
      <c r="D32" s="22">
        <v>12.0</v>
      </c>
      <c r="E32" s="22">
        <v>12.0</v>
      </c>
      <c r="F32" s="22">
        <v>2.0</v>
      </c>
      <c r="G32" s="22">
        <v>14.0</v>
      </c>
      <c r="H32" s="22">
        <v>6.0</v>
      </c>
      <c r="I32" s="22">
        <v>1.0</v>
      </c>
      <c r="J32" s="22">
        <v>1.0</v>
      </c>
      <c r="K32" s="22">
        <v>9.0</v>
      </c>
      <c r="L32" s="22">
        <v>2.0</v>
      </c>
      <c r="M32" s="22">
        <v>13.0</v>
      </c>
      <c r="N32" s="22">
        <v>13.0</v>
      </c>
      <c r="O32" s="22">
        <v>12.0</v>
      </c>
      <c r="P32" s="22">
        <v>5.0</v>
      </c>
      <c r="Q32" s="22">
        <v>3.0</v>
      </c>
      <c r="R32" s="22">
        <v>4.0</v>
      </c>
      <c r="S32" s="22">
        <v>8.0</v>
      </c>
      <c r="T32" s="22">
        <v>7.0</v>
      </c>
      <c r="U32" s="22">
        <v>3.0</v>
      </c>
      <c r="V32" s="22">
        <v>10.0</v>
      </c>
      <c r="W32" s="22">
        <v>5.0</v>
      </c>
      <c r="X32" s="22">
        <v>3.0</v>
      </c>
      <c r="Y32" s="22">
        <v>5.0</v>
      </c>
      <c r="Z32" s="22">
        <f t="shared" si="2"/>
        <v>155</v>
      </c>
    </row>
    <row r="33">
      <c r="A33" s="23" t="s">
        <v>4</v>
      </c>
      <c r="B33" s="24">
        <f t="shared" ref="B33:Y33" si="3">(B32/28)</f>
        <v>0.1071428571</v>
      </c>
      <c r="C33" s="24">
        <f t="shared" si="3"/>
        <v>0.07142857143</v>
      </c>
      <c r="D33" s="24">
        <f t="shared" si="3"/>
        <v>0.4285714286</v>
      </c>
      <c r="E33" s="24">
        <f t="shared" si="3"/>
        <v>0.4285714286</v>
      </c>
      <c r="F33" s="24">
        <f t="shared" si="3"/>
        <v>0.07142857143</v>
      </c>
      <c r="G33" s="24">
        <f t="shared" si="3"/>
        <v>0.5</v>
      </c>
      <c r="H33" s="24">
        <f t="shared" si="3"/>
        <v>0.2142857143</v>
      </c>
      <c r="I33" s="24">
        <f t="shared" si="3"/>
        <v>0.03571428571</v>
      </c>
      <c r="J33" s="24">
        <f t="shared" si="3"/>
        <v>0.03571428571</v>
      </c>
      <c r="K33" s="24">
        <f t="shared" si="3"/>
        <v>0.3214285714</v>
      </c>
      <c r="L33" s="24">
        <f t="shared" si="3"/>
        <v>0.07142857143</v>
      </c>
      <c r="M33" s="24">
        <f t="shared" si="3"/>
        <v>0.4642857143</v>
      </c>
      <c r="N33" s="24">
        <f t="shared" si="3"/>
        <v>0.4642857143</v>
      </c>
      <c r="O33" s="24">
        <f t="shared" si="3"/>
        <v>0.4285714286</v>
      </c>
      <c r="P33" s="24">
        <f t="shared" si="3"/>
        <v>0.1785714286</v>
      </c>
      <c r="Q33" s="24">
        <f t="shared" si="3"/>
        <v>0.1071428571</v>
      </c>
      <c r="R33" s="24">
        <f t="shared" si="3"/>
        <v>0.1428571429</v>
      </c>
      <c r="S33" s="24">
        <f t="shared" si="3"/>
        <v>0.2857142857</v>
      </c>
      <c r="T33" s="24">
        <f t="shared" si="3"/>
        <v>0.25</v>
      </c>
      <c r="U33" s="24">
        <f t="shared" si="3"/>
        <v>0.1071428571</v>
      </c>
      <c r="V33" s="24">
        <f t="shared" si="3"/>
        <v>0.3571428571</v>
      </c>
      <c r="W33" s="24">
        <f t="shared" si="3"/>
        <v>0.1785714286</v>
      </c>
      <c r="X33" s="24">
        <f t="shared" si="3"/>
        <v>0.1071428571</v>
      </c>
      <c r="Y33" s="24">
        <f t="shared" si="3"/>
        <v>0.1785714286</v>
      </c>
      <c r="Z33" s="25"/>
    </row>
    <row r="34">
      <c r="A34" s="26" t="s">
        <v>5</v>
      </c>
      <c r="B34" s="27">
        <f>B36/B35</f>
        <v>0.2306547619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9"/>
      <c r="Z34" s="4"/>
    </row>
    <row r="35">
      <c r="A35" s="23" t="s">
        <v>6</v>
      </c>
      <c r="B35" s="48">
        <v>672.0</v>
      </c>
      <c r="C35" s="4"/>
      <c r="D35" s="4"/>
      <c r="E35" s="4"/>
      <c r="F35" s="4"/>
      <c r="G35" s="9"/>
      <c r="H35" s="4"/>
      <c r="I35" s="9"/>
      <c r="J35" s="9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9">
        <f>Z31+12000000</f>
        <v>34591813</v>
      </c>
    </row>
    <row r="36">
      <c r="A36" s="29" t="s">
        <v>7</v>
      </c>
      <c r="B36" s="30">
        <f>Z32</f>
        <v>155</v>
      </c>
      <c r="C36" s="4"/>
      <c r="E36" s="4"/>
      <c r="F36" s="4"/>
      <c r="G36" s="9"/>
      <c r="H36" s="4"/>
      <c r="I36" s="9"/>
      <c r="J36" s="9"/>
      <c r="K36" s="4"/>
      <c r="L36" s="4"/>
      <c r="M36" s="4"/>
      <c r="N36" s="4"/>
      <c r="O36" s="4"/>
      <c r="P36" s="4"/>
      <c r="Q36" s="4"/>
      <c r="R36" s="4"/>
      <c r="S36" s="31"/>
      <c r="T36" s="4"/>
      <c r="U36" s="32"/>
      <c r="V36" s="4"/>
      <c r="W36" s="4"/>
      <c r="X36" s="4"/>
      <c r="Y36" s="4"/>
      <c r="Z36" s="4"/>
    </row>
    <row r="37">
      <c r="A37" s="23" t="s">
        <v>8</v>
      </c>
      <c r="B37" s="33">
        <v>70000.0</v>
      </c>
      <c r="C37" s="4"/>
      <c r="D37" s="4"/>
      <c r="E37" s="4"/>
      <c r="F37" s="4"/>
      <c r="G37" s="44"/>
      <c r="H37" s="4"/>
      <c r="I37" s="9"/>
      <c r="J37" s="9"/>
      <c r="K37" s="4"/>
      <c r="L37" s="4"/>
      <c r="M37" s="4"/>
      <c r="N37" s="31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9" t="s">
        <v>9</v>
      </c>
      <c r="B38" s="34"/>
      <c r="D38" s="9"/>
      <c r="E38" s="9"/>
      <c r="F38" s="9"/>
      <c r="I38" s="9"/>
      <c r="J38" s="9"/>
      <c r="K38" s="4"/>
      <c r="L38" s="31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3" t="s">
        <v>10</v>
      </c>
      <c r="B39" s="33">
        <f>Z31+B37+B38</f>
        <v>22661813</v>
      </c>
      <c r="C39" s="4"/>
      <c r="D39" s="50"/>
      <c r="E39" s="50"/>
      <c r="I39" s="31"/>
      <c r="J39" s="9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5" t="s">
        <v>11</v>
      </c>
      <c r="B40" s="36">
        <f>23610+67319+72334+320142+377112+142776+216970+51328+307742+323625+198675+92443+70148+108620+236194+198275+75528+273220+162225+83039+121763</f>
        <v>3523088</v>
      </c>
      <c r="C40" s="4"/>
      <c r="D40" s="29" t="s">
        <v>22</v>
      </c>
      <c r="E40" s="51">
        <f> 27385+215221+217631+33600+101697+146314+140411+332565+137504+155602+20400+25306+33413+28486+24724+160489+80918+23435 </f>
        <v>1905101</v>
      </c>
      <c r="I40" s="4"/>
      <c r="J40" s="9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5" t="s">
        <v>13</v>
      </c>
      <c r="B41" s="36">
        <f>375570+211607+1107803+1376049+212650+1321398+564809+143439+176178+711719+180046+1003722+1231635+1120900+654576+221339+352587+767110+810554+240055+875080+537036+256241+429374+873108</f>
        <v>15754585</v>
      </c>
      <c r="C41" s="4"/>
      <c r="D41" s="52" t="s">
        <v>23</v>
      </c>
      <c r="E41" s="53">
        <f>E40*0.4583</f>
        <v>873107.7883</v>
      </c>
      <c r="I41" s="4"/>
      <c r="J41" s="9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5" t="s">
        <v>14</v>
      </c>
      <c r="B42" s="36">
        <f>1144018+603234</f>
        <v>1747252</v>
      </c>
      <c r="C42" s="4"/>
      <c r="D42" s="54" t="s">
        <v>24</v>
      </c>
      <c r="E42" s="53">
        <f>20000+20000+60000+20000+20000+40000+40000+40000+20000+20000+20000+20000+60000+20000</f>
        <v>420000</v>
      </c>
      <c r="F42" s="4"/>
      <c r="G42" s="4"/>
      <c r="H42" s="31"/>
      <c r="I42" s="37"/>
      <c r="J42" s="9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5" t="s">
        <v>12</v>
      </c>
      <c r="B43" s="36">
        <f>420000+20000+25000+50000+20000+20000+25000+20000+70000+25000+125000+70000+20000+100000</f>
        <v>1010000</v>
      </c>
      <c r="C43" s="4"/>
      <c r="D43" s="54" t="s">
        <v>25</v>
      </c>
      <c r="E43" s="55">
        <f>E41+E42</f>
        <v>1293107.788</v>
      </c>
      <c r="F43" s="4"/>
      <c r="G43" s="4"/>
      <c r="I43" s="7"/>
      <c r="J43" s="9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5" t="s">
        <v>15</v>
      </c>
      <c r="B44" s="56">
        <v>1.0104459E7</v>
      </c>
      <c r="D44" s="4"/>
      <c r="E44" s="4"/>
      <c r="F44" s="4"/>
      <c r="G44" s="9"/>
      <c r="H44" s="4"/>
      <c r="I44" s="9"/>
      <c r="J44" s="9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5" t="s">
        <v>17</v>
      </c>
      <c r="B45" s="36">
        <f>B41-B44</f>
        <v>5650126</v>
      </c>
      <c r="C45" s="4"/>
      <c r="D45" s="31" t="s">
        <v>26</v>
      </c>
      <c r="E45" s="51">
        <f>13571+18662+100419+51883+149329+15164+26325+51608+26903+101789+72944+45661+23421+54273+72928+107638+24171+60821+80247+56171</f>
        <v>1153928</v>
      </c>
      <c r="F45" s="4"/>
      <c r="G45" s="9"/>
      <c r="H45" s="4"/>
      <c r="I45" s="9"/>
      <c r="J45" s="9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7" t="s">
        <v>27</v>
      </c>
      <c r="B46" s="58">
        <v>727080.0</v>
      </c>
      <c r="D46" s="31" t="s">
        <v>28</v>
      </c>
      <c r="E46" s="37">
        <f>E40-E43</f>
        <v>611993.2117</v>
      </c>
      <c r="F46" s="4"/>
      <c r="G46" s="9"/>
      <c r="H46" s="4"/>
      <c r="I46" s="9"/>
      <c r="J46" s="9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4"/>
      <c r="B47" s="59"/>
      <c r="D47" s="4"/>
      <c r="E47" s="4"/>
      <c r="F47" s="4"/>
      <c r="G47" s="9"/>
      <c r="H47" s="4"/>
      <c r="I47" s="9"/>
      <c r="J47" s="9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4"/>
      <c r="B48" s="60"/>
      <c r="C48" s="4"/>
      <c r="D48" s="4"/>
      <c r="E48" s="4"/>
      <c r="F48" s="4"/>
      <c r="G48" s="9"/>
      <c r="H48" s="4"/>
      <c r="I48" s="9"/>
      <c r="J48" s="9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8" t="s">
        <v>18</v>
      </c>
      <c r="B49" s="4"/>
      <c r="C49" s="4"/>
      <c r="D49" s="31"/>
      <c r="E49" s="4"/>
      <c r="F49" s="4"/>
      <c r="G49" s="9"/>
      <c r="H49" s="4"/>
      <c r="I49" s="9"/>
      <c r="J49" s="9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8" t="s">
        <v>19</v>
      </c>
      <c r="B50" s="4"/>
      <c r="C50" s="4"/>
      <c r="D50" s="4"/>
      <c r="E50" s="4"/>
      <c r="F50" s="4"/>
      <c r="G50" s="9"/>
      <c r="H50" s="4"/>
      <c r="I50" s="9"/>
      <c r="J50" s="9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9" t="s">
        <v>20</v>
      </c>
      <c r="B51" s="4"/>
      <c r="C51" s="4"/>
      <c r="D51" s="4"/>
      <c r="E51" s="4"/>
      <c r="F51" s="4"/>
      <c r="G51" s="9"/>
      <c r="H51" s="4"/>
      <c r="I51" s="9"/>
      <c r="J51" s="9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61" t="s">
        <v>27</v>
      </c>
      <c r="B52" s="4"/>
      <c r="C52" s="4"/>
      <c r="D52" s="4"/>
      <c r="E52" s="4"/>
      <c r="F52" s="4"/>
      <c r="G52" s="9"/>
      <c r="H52" s="4"/>
      <c r="I52" s="9"/>
      <c r="J52" s="9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9"/>
      <c r="B53" s="9"/>
      <c r="C53" s="62"/>
      <c r="D53" s="9"/>
      <c r="E53" s="9"/>
      <c r="F53" s="44"/>
      <c r="G53" s="9"/>
      <c r="H53" s="4"/>
      <c r="I53" s="9"/>
      <c r="J53" s="9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63"/>
      <c r="B54" s="64"/>
      <c r="C54" s="62"/>
      <c r="D54" s="59"/>
      <c r="E54" s="44"/>
      <c r="F54" s="9"/>
      <c r="G54" s="9"/>
      <c r="H54" s="4"/>
      <c r="I54" s="9"/>
      <c r="J54" s="9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4"/>
      <c r="B55" s="44"/>
      <c r="C55" s="62"/>
      <c r="D55" s="60"/>
      <c r="E55" s="44"/>
      <c r="F55" s="9"/>
      <c r="G55" s="9"/>
      <c r="H55" s="4"/>
      <c r="I55" s="9"/>
      <c r="J55" s="9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63"/>
      <c r="B56" s="65"/>
      <c r="C56" s="9"/>
      <c r="D56" s="9"/>
      <c r="E56" s="44"/>
      <c r="F56" s="60"/>
      <c r="G56" s="9"/>
      <c r="H56" s="4"/>
      <c r="I56" s="9"/>
      <c r="J56" s="9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62"/>
      <c r="B57" s="62"/>
      <c r="C57" s="9"/>
      <c r="D57" s="9"/>
      <c r="E57" s="62"/>
      <c r="F57" s="65"/>
      <c r="G57" s="9"/>
      <c r="H57" s="4"/>
      <c r="I57" s="9"/>
      <c r="J57" s="9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G58" s="9"/>
      <c r="H58" s="4"/>
      <c r="I58" s="9"/>
      <c r="J58" s="9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9"/>
      <c r="H59" s="4"/>
      <c r="I59" s="9"/>
      <c r="J59" s="9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9"/>
      <c r="H60" s="4"/>
      <c r="I60" s="9"/>
      <c r="J60" s="9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9"/>
      <c r="H61" s="4"/>
      <c r="I61" s="9"/>
      <c r="J61" s="9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9"/>
      <c r="H62" s="4"/>
      <c r="I62" s="9"/>
      <c r="J62" s="9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9"/>
      <c r="H63" s="4"/>
      <c r="I63" s="9"/>
      <c r="J63" s="9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9"/>
      <c r="H64" s="4"/>
      <c r="I64" s="9"/>
      <c r="J64" s="9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9"/>
      <c r="H65" s="4"/>
      <c r="I65" s="9"/>
      <c r="J65" s="9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9"/>
      <c r="H66" s="4"/>
      <c r="I66" s="9"/>
      <c r="J66" s="9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9"/>
      <c r="H67" s="4"/>
      <c r="I67" s="9"/>
      <c r="J67" s="9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9"/>
      <c r="H68" s="4"/>
      <c r="I68" s="9"/>
      <c r="J68" s="9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9"/>
      <c r="H69" s="4"/>
      <c r="I69" s="9"/>
      <c r="J69" s="9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9"/>
      <c r="H70" s="4"/>
      <c r="I70" s="9"/>
      <c r="J70" s="9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9"/>
      <c r="H71" s="4"/>
      <c r="I71" s="9"/>
      <c r="J71" s="9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9"/>
      <c r="H72" s="4"/>
      <c r="I72" s="9"/>
      <c r="J72" s="9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9"/>
      <c r="H73" s="4"/>
      <c r="I73" s="9"/>
      <c r="J73" s="9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9"/>
      <c r="H74" s="4"/>
      <c r="I74" s="9"/>
      <c r="J74" s="9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9"/>
      <c r="H75" s="4"/>
      <c r="I75" s="9"/>
      <c r="J75" s="9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9"/>
      <c r="H76" s="4"/>
      <c r="I76" s="9"/>
      <c r="J76" s="9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9"/>
      <c r="H77" s="4"/>
      <c r="I77" s="9"/>
      <c r="J77" s="9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9"/>
      <c r="H78" s="4"/>
      <c r="I78" s="9"/>
      <c r="J78" s="9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9"/>
      <c r="H79" s="4"/>
      <c r="I79" s="9"/>
      <c r="J79" s="9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9"/>
      <c r="H80" s="4"/>
      <c r="I80" s="9"/>
      <c r="J80" s="9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9"/>
      <c r="H81" s="4"/>
      <c r="I81" s="9"/>
      <c r="J81" s="9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9"/>
      <c r="H82" s="4"/>
      <c r="I82" s="9"/>
      <c r="J82" s="9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9"/>
      <c r="H83" s="4"/>
      <c r="I83" s="9"/>
      <c r="J83" s="9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9"/>
      <c r="H84" s="4"/>
      <c r="I84" s="9"/>
      <c r="J84" s="9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9"/>
      <c r="H85" s="4"/>
      <c r="I85" s="9"/>
      <c r="J85" s="9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9"/>
      <c r="H86" s="4"/>
      <c r="I86" s="9"/>
      <c r="J86" s="9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9"/>
      <c r="H87" s="4"/>
      <c r="I87" s="9"/>
      <c r="J87" s="9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9"/>
      <c r="H88" s="4"/>
      <c r="I88" s="9"/>
      <c r="J88" s="9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9"/>
      <c r="H89" s="4"/>
      <c r="I89" s="9"/>
      <c r="J89" s="9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9"/>
      <c r="H90" s="4"/>
      <c r="I90" s="9"/>
      <c r="J90" s="9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9"/>
      <c r="H91" s="4"/>
      <c r="I91" s="9"/>
      <c r="J91" s="9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9"/>
      <c r="H92" s="4"/>
      <c r="I92" s="9"/>
      <c r="J92" s="9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9"/>
      <c r="H93" s="4"/>
      <c r="I93" s="9"/>
      <c r="J93" s="9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9"/>
      <c r="H94" s="4"/>
      <c r="I94" s="9"/>
      <c r="J94" s="9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9"/>
      <c r="H95" s="4"/>
      <c r="I95" s="9"/>
      <c r="J95" s="9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9"/>
      <c r="H96" s="4"/>
      <c r="I96" s="9"/>
      <c r="J96" s="9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9"/>
      <c r="H97" s="4"/>
      <c r="I97" s="9"/>
      <c r="J97" s="9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9"/>
      <c r="H98" s="4"/>
      <c r="I98" s="9"/>
      <c r="J98" s="9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9"/>
      <c r="H99" s="4"/>
      <c r="I99" s="9"/>
      <c r="J99" s="9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9"/>
      <c r="H100" s="4"/>
      <c r="I100" s="9"/>
      <c r="J100" s="9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9"/>
      <c r="H101" s="4"/>
      <c r="I101" s="9"/>
      <c r="J101" s="9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9"/>
      <c r="H102" s="4"/>
      <c r="I102" s="9"/>
      <c r="J102" s="9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9"/>
      <c r="H103" s="4"/>
      <c r="I103" s="9"/>
      <c r="J103" s="9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9"/>
      <c r="H104" s="4"/>
      <c r="I104" s="9"/>
      <c r="J104" s="9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9"/>
      <c r="H105" s="4"/>
      <c r="I105" s="9"/>
      <c r="J105" s="9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9"/>
      <c r="H106" s="4"/>
      <c r="I106" s="9"/>
      <c r="J106" s="9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9"/>
      <c r="H107" s="4"/>
      <c r="I107" s="9"/>
      <c r="J107" s="9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9"/>
      <c r="H108" s="4"/>
      <c r="I108" s="9"/>
      <c r="J108" s="9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9"/>
      <c r="H109" s="4"/>
      <c r="I109" s="9"/>
      <c r="J109" s="9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9"/>
      <c r="H110" s="4"/>
      <c r="I110" s="9"/>
      <c r="J110" s="9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9"/>
      <c r="H111" s="4"/>
      <c r="I111" s="9"/>
      <c r="J111" s="9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9"/>
      <c r="H112" s="4"/>
      <c r="I112" s="9"/>
      <c r="J112" s="9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9"/>
      <c r="H113" s="4"/>
      <c r="I113" s="9"/>
      <c r="J113" s="9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9"/>
      <c r="H114" s="4"/>
      <c r="I114" s="9"/>
      <c r="J114" s="9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9"/>
      <c r="H115" s="4"/>
      <c r="I115" s="9"/>
      <c r="J115" s="9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9"/>
      <c r="H116" s="4"/>
      <c r="I116" s="9"/>
      <c r="J116" s="9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9"/>
      <c r="H117" s="4"/>
      <c r="I117" s="9"/>
      <c r="J117" s="9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9"/>
      <c r="H118" s="4"/>
      <c r="I118" s="9"/>
      <c r="J118" s="9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9"/>
      <c r="H119" s="4"/>
      <c r="I119" s="9"/>
      <c r="J119" s="9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9"/>
      <c r="H120" s="4"/>
      <c r="I120" s="9"/>
      <c r="J120" s="9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9"/>
      <c r="H121" s="4"/>
      <c r="I121" s="9"/>
      <c r="J121" s="9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9"/>
      <c r="H122" s="4"/>
      <c r="I122" s="9"/>
      <c r="J122" s="9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9"/>
      <c r="H123" s="4"/>
      <c r="I123" s="9"/>
      <c r="J123" s="9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9"/>
      <c r="H124" s="4"/>
      <c r="I124" s="9"/>
      <c r="J124" s="9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9"/>
      <c r="H125" s="4"/>
      <c r="I125" s="9"/>
      <c r="J125" s="9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9"/>
      <c r="H126" s="4"/>
      <c r="I126" s="9"/>
      <c r="J126" s="9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9"/>
      <c r="H127" s="4"/>
      <c r="I127" s="9"/>
      <c r="J127" s="9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9"/>
      <c r="H128" s="4"/>
      <c r="I128" s="9"/>
      <c r="J128" s="9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9"/>
      <c r="H129" s="4"/>
      <c r="I129" s="9"/>
      <c r="J129" s="9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9"/>
      <c r="H130" s="4"/>
      <c r="I130" s="9"/>
      <c r="J130" s="9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9"/>
      <c r="H131" s="4"/>
      <c r="I131" s="9"/>
      <c r="J131" s="9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9"/>
      <c r="H132" s="4"/>
      <c r="I132" s="9"/>
      <c r="J132" s="9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9"/>
      <c r="H133" s="4"/>
      <c r="I133" s="9"/>
      <c r="J133" s="9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9"/>
      <c r="H134" s="4"/>
      <c r="I134" s="9"/>
      <c r="J134" s="9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9"/>
      <c r="H135" s="4"/>
      <c r="I135" s="9"/>
      <c r="J135" s="9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9"/>
      <c r="H136" s="4"/>
      <c r="I136" s="9"/>
      <c r="J136" s="9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9"/>
      <c r="H137" s="4"/>
      <c r="I137" s="9"/>
      <c r="J137" s="9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9"/>
      <c r="H138" s="4"/>
      <c r="I138" s="9"/>
      <c r="J138" s="9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9"/>
      <c r="H139" s="4"/>
      <c r="I139" s="9"/>
      <c r="J139" s="9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9"/>
      <c r="H140" s="4"/>
      <c r="I140" s="9"/>
      <c r="J140" s="9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9"/>
      <c r="H141" s="4"/>
      <c r="I141" s="9"/>
      <c r="J141" s="9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9"/>
      <c r="H142" s="4"/>
      <c r="I142" s="9"/>
      <c r="J142" s="9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9"/>
      <c r="H143" s="4"/>
      <c r="I143" s="9"/>
      <c r="J143" s="9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9"/>
      <c r="H144" s="4"/>
      <c r="I144" s="9"/>
      <c r="J144" s="9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9"/>
      <c r="H145" s="4"/>
      <c r="I145" s="9"/>
      <c r="J145" s="9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9"/>
      <c r="H146" s="4"/>
      <c r="I146" s="9"/>
      <c r="J146" s="9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9"/>
      <c r="H147" s="4"/>
      <c r="I147" s="9"/>
      <c r="J147" s="9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9"/>
      <c r="H148" s="4"/>
      <c r="I148" s="9"/>
      <c r="J148" s="9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9"/>
      <c r="H149" s="4"/>
      <c r="I149" s="9"/>
      <c r="J149" s="9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9"/>
      <c r="H150" s="4"/>
      <c r="I150" s="9"/>
      <c r="J150" s="9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9"/>
      <c r="H151" s="4"/>
      <c r="I151" s="9"/>
      <c r="J151" s="9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9"/>
      <c r="H152" s="4"/>
      <c r="I152" s="9"/>
      <c r="J152" s="9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9"/>
      <c r="H153" s="4"/>
      <c r="I153" s="9"/>
      <c r="J153" s="9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9"/>
      <c r="H154" s="4"/>
      <c r="I154" s="9"/>
      <c r="J154" s="9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9"/>
      <c r="H155" s="4"/>
      <c r="I155" s="9"/>
      <c r="J155" s="9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9"/>
      <c r="H156" s="4"/>
      <c r="I156" s="9"/>
      <c r="J156" s="9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9"/>
      <c r="H157" s="4"/>
      <c r="I157" s="9"/>
      <c r="J157" s="9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9"/>
      <c r="H158" s="4"/>
      <c r="I158" s="9"/>
      <c r="J158" s="9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9"/>
      <c r="H159" s="4"/>
      <c r="I159" s="9"/>
      <c r="J159" s="9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9"/>
      <c r="H160" s="4"/>
      <c r="I160" s="9"/>
      <c r="J160" s="9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9"/>
      <c r="H161" s="4"/>
      <c r="I161" s="9"/>
      <c r="J161" s="9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9"/>
      <c r="H162" s="4"/>
      <c r="I162" s="9"/>
      <c r="J162" s="9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9"/>
      <c r="H163" s="4"/>
      <c r="I163" s="9"/>
      <c r="J163" s="9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9"/>
      <c r="H164" s="4"/>
      <c r="I164" s="9"/>
      <c r="J164" s="9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9"/>
      <c r="H165" s="4"/>
      <c r="I165" s="9"/>
      <c r="J165" s="9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9"/>
      <c r="H166" s="4"/>
      <c r="I166" s="9"/>
      <c r="J166" s="9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9"/>
      <c r="H167" s="4"/>
      <c r="I167" s="9"/>
      <c r="J167" s="9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9"/>
      <c r="H168" s="4"/>
      <c r="I168" s="9"/>
      <c r="J168" s="9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9"/>
      <c r="H169" s="4"/>
      <c r="I169" s="9"/>
      <c r="J169" s="9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9"/>
      <c r="H170" s="4"/>
      <c r="I170" s="9"/>
      <c r="J170" s="9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9"/>
      <c r="H171" s="4"/>
      <c r="I171" s="9"/>
      <c r="J171" s="9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9"/>
      <c r="H172" s="4"/>
      <c r="I172" s="9"/>
      <c r="J172" s="9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9"/>
      <c r="H173" s="4"/>
      <c r="I173" s="9"/>
      <c r="J173" s="9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9"/>
      <c r="H174" s="4"/>
      <c r="I174" s="9"/>
      <c r="J174" s="9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9"/>
      <c r="H175" s="4"/>
      <c r="I175" s="9"/>
      <c r="J175" s="9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9"/>
      <c r="H176" s="4"/>
      <c r="I176" s="9"/>
      <c r="J176" s="9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9"/>
      <c r="H177" s="4"/>
      <c r="I177" s="9"/>
      <c r="J177" s="9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9"/>
      <c r="H178" s="4"/>
      <c r="I178" s="9"/>
      <c r="J178" s="9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9"/>
      <c r="H179" s="4"/>
      <c r="I179" s="9"/>
      <c r="J179" s="9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9"/>
      <c r="H180" s="4"/>
      <c r="I180" s="9"/>
      <c r="J180" s="9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9"/>
      <c r="H181" s="4"/>
      <c r="I181" s="9"/>
      <c r="J181" s="9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9"/>
      <c r="H182" s="4"/>
      <c r="I182" s="9"/>
      <c r="J182" s="9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9"/>
      <c r="H183" s="4"/>
      <c r="I183" s="9"/>
      <c r="J183" s="9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9"/>
      <c r="H184" s="4"/>
      <c r="I184" s="9"/>
      <c r="J184" s="9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9"/>
      <c r="H185" s="4"/>
      <c r="I185" s="9"/>
      <c r="J185" s="9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9"/>
      <c r="H186" s="4"/>
      <c r="I186" s="9"/>
      <c r="J186" s="9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9"/>
      <c r="H187" s="4"/>
      <c r="I187" s="9"/>
      <c r="J187" s="9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9"/>
      <c r="H188" s="4"/>
      <c r="I188" s="9"/>
      <c r="J188" s="9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9"/>
      <c r="H189" s="4"/>
      <c r="I189" s="9"/>
      <c r="J189" s="9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9"/>
      <c r="H190" s="4"/>
      <c r="I190" s="9"/>
      <c r="J190" s="9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9"/>
      <c r="H191" s="4"/>
      <c r="I191" s="9"/>
      <c r="J191" s="9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9"/>
      <c r="H192" s="4"/>
      <c r="I192" s="9"/>
      <c r="J192" s="9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9"/>
      <c r="H193" s="4"/>
      <c r="I193" s="9"/>
      <c r="J193" s="9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9"/>
      <c r="H194" s="4"/>
      <c r="I194" s="9"/>
      <c r="J194" s="9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9"/>
      <c r="H195" s="4"/>
      <c r="I195" s="9"/>
      <c r="J195" s="9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9"/>
      <c r="H196" s="4"/>
      <c r="I196" s="9"/>
      <c r="J196" s="9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9"/>
      <c r="H197" s="4"/>
      <c r="I197" s="9"/>
      <c r="J197" s="9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9"/>
      <c r="H198" s="4"/>
      <c r="I198" s="9"/>
      <c r="J198" s="9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9"/>
      <c r="H199" s="4"/>
      <c r="I199" s="9"/>
      <c r="J199" s="9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9"/>
      <c r="H200" s="4"/>
      <c r="I200" s="9"/>
      <c r="J200" s="9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9"/>
      <c r="H201" s="4"/>
      <c r="I201" s="9"/>
      <c r="J201" s="9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9"/>
      <c r="H202" s="4"/>
      <c r="I202" s="9"/>
      <c r="J202" s="9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9"/>
      <c r="H203" s="4"/>
      <c r="I203" s="9"/>
      <c r="J203" s="9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9"/>
      <c r="H204" s="4"/>
      <c r="I204" s="9"/>
      <c r="J204" s="9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9"/>
      <c r="H205" s="4"/>
      <c r="I205" s="9"/>
      <c r="J205" s="9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9"/>
      <c r="H206" s="4"/>
      <c r="I206" s="9"/>
      <c r="J206" s="9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9"/>
      <c r="H207" s="4"/>
      <c r="I207" s="9"/>
      <c r="J207" s="9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9"/>
      <c r="H208" s="4"/>
      <c r="I208" s="9"/>
      <c r="J208" s="9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9"/>
      <c r="H209" s="4"/>
      <c r="I209" s="9"/>
      <c r="J209" s="9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9"/>
      <c r="H210" s="4"/>
      <c r="I210" s="9"/>
      <c r="J210" s="9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9"/>
      <c r="H211" s="4"/>
      <c r="I211" s="9"/>
      <c r="J211" s="9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9"/>
      <c r="H212" s="4"/>
      <c r="I212" s="9"/>
      <c r="J212" s="9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9"/>
      <c r="H213" s="4"/>
      <c r="I213" s="9"/>
      <c r="J213" s="9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9"/>
      <c r="H214" s="4"/>
      <c r="I214" s="9"/>
      <c r="J214" s="9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9"/>
      <c r="H215" s="4"/>
      <c r="I215" s="9"/>
      <c r="J215" s="9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9"/>
      <c r="H216" s="4"/>
      <c r="I216" s="9"/>
      <c r="J216" s="9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9"/>
      <c r="H217" s="4"/>
      <c r="I217" s="9"/>
      <c r="J217" s="9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9"/>
      <c r="H218" s="4"/>
      <c r="I218" s="9"/>
      <c r="J218" s="9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9"/>
      <c r="H219" s="4"/>
      <c r="I219" s="9"/>
      <c r="J219" s="9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9"/>
      <c r="H220" s="4"/>
      <c r="I220" s="9"/>
      <c r="J220" s="9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9"/>
      <c r="H221" s="4"/>
      <c r="I221" s="9"/>
      <c r="J221" s="9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9"/>
      <c r="H222" s="4"/>
      <c r="I222" s="9"/>
      <c r="J222" s="9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9"/>
      <c r="H223" s="4"/>
      <c r="I223" s="9"/>
      <c r="J223" s="9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9"/>
      <c r="H224" s="4"/>
      <c r="I224" s="9"/>
      <c r="J224" s="9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9"/>
      <c r="H225" s="4"/>
      <c r="I225" s="9"/>
      <c r="J225" s="9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9"/>
      <c r="H226" s="4"/>
      <c r="I226" s="9"/>
      <c r="J226" s="9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9"/>
      <c r="H227" s="4"/>
      <c r="I227" s="9"/>
      <c r="J227" s="9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9"/>
      <c r="H228" s="4"/>
      <c r="I228" s="9"/>
      <c r="J228" s="9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9"/>
      <c r="H229" s="4"/>
      <c r="I229" s="9"/>
      <c r="J229" s="9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9"/>
      <c r="H230" s="4"/>
      <c r="I230" s="9"/>
      <c r="J230" s="9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9"/>
      <c r="H231" s="4"/>
      <c r="I231" s="9"/>
      <c r="J231" s="9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9"/>
      <c r="H232" s="4"/>
      <c r="I232" s="9"/>
      <c r="J232" s="9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9"/>
      <c r="H233" s="4"/>
      <c r="I233" s="9"/>
      <c r="J233" s="9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9"/>
      <c r="H234" s="4"/>
      <c r="I234" s="9"/>
      <c r="J234" s="9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9"/>
      <c r="H235" s="4"/>
      <c r="I235" s="9"/>
      <c r="J235" s="9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9"/>
      <c r="H236" s="4"/>
      <c r="I236" s="9"/>
      <c r="J236" s="9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9"/>
      <c r="H237" s="4"/>
      <c r="I237" s="9"/>
      <c r="J237" s="9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9"/>
      <c r="H238" s="4"/>
      <c r="I238" s="9"/>
      <c r="J238" s="9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9"/>
      <c r="H239" s="4"/>
      <c r="I239" s="9"/>
      <c r="J239" s="9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9"/>
      <c r="H240" s="4"/>
      <c r="I240" s="9"/>
      <c r="J240" s="9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9"/>
      <c r="H241" s="4"/>
      <c r="I241" s="9"/>
      <c r="J241" s="9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9"/>
      <c r="H242" s="4"/>
      <c r="I242" s="9"/>
      <c r="J242" s="9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9"/>
      <c r="H243" s="4"/>
      <c r="I243" s="9"/>
      <c r="J243" s="9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9"/>
      <c r="H244" s="4"/>
      <c r="I244" s="9"/>
      <c r="J244" s="9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9"/>
      <c r="H245" s="4"/>
      <c r="I245" s="9"/>
      <c r="J245" s="9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9"/>
      <c r="H246" s="4"/>
      <c r="I246" s="9"/>
      <c r="J246" s="9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9"/>
      <c r="H247" s="4"/>
      <c r="I247" s="9"/>
      <c r="J247" s="9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9"/>
      <c r="H248" s="4"/>
      <c r="I248" s="9"/>
      <c r="J248" s="9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9"/>
      <c r="H249" s="4"/>
      <c r="I249" s="9"/>
      <c r="J249" s="9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9"/>
      <c r="H250" s="4"/>
      <c r="I250" s="9"/>
      <c r="J250" s="9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9"/>
      <c r="H251" s="4"/>
      <c r="I251" s="9"/>
      <c r="J251" s="9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9"/>
      <c r="H252" s="4"/>
      <c r="I252" s="9"/>
      <c r="J252" s="9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9"/>
      <c r="H253" s="4"/>
      <c r="I253" s="9"/>
      <c r="J253" s="9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9"/>
      <c r="H254" s="4"/>
      <c r="I254" s="9"/>
      <c r="J254" s="9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9"/>
      <c r="H255" s="4"/>
      <c r="I255" s="9"/>
      <c r="J255" s="9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9"/>
      <c r="H256" s="4"/>
      <c r="I256" s="9"/>
      <c r="J256" s="9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9"/>
      <c r="H257" s="4"/>
      <c r="I257" s="9"/>
      <c r="J257" s="9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9"/>
      <c r="H258" s="4"/>
      <c r="I258" s="9"/>
      <c r="J258" s="9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9"/>
      <c r="H259" s="4"/>
      <c r="I259" s="9"/>
      <c r="J259" s="9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9"/>
      <c r="H260" s="4"/>
      <c r="I260" s="9"/>
      <c r="J260" s="9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9"/>
      <c r="H261" s="4"/>
      <c r="I261" s="9"/>
      <c r="J261" s="9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9"/>
      <c r="H262" s="4"/>
      <c r="I262" s="9"/>
      <c r="J262" s="9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9"/>
      <c r="H263" s="4"/>
      <c r="I263" s="9"/>
      <c r="J263" s="9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9"/>
      <c r="H264" s="4"/>
      <c r="I264" s="9"/>
      <c r="J264" s="9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9"/>
      <c r="H265" s="4"/>
      <c r="I265" s="9"/>
      <c r="J265" s="9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9"/>
      <c r="H266" s="4"/>
      <c r="I266" s="9"/>
      <c r="J266" s="9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9"/>
      <c r="H267" s="4"/>
      <c r="I267" s="9"/>
      <c r="J267" s="9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9"/>
      <c r="H268" s="4"/>
      <c r="I268" s="9"/>
      <c r="J268" s="9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9"/>
      <c r="H269" s="4"/>
      <c r="I269" s="9"/>
      <c r="J269" s="9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9"/>
      <c r="H270" s="4"/>
      <c r="I270" s="9"/>
      <c r="J270" s="9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9"/>
      <c r="H271" s="4"/>
      <c r="I271" s="9"/>
      <c r="J271" s="9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9"/>
      <c r="H272" s="4"/>
      <c r="I272" s="9"/>
      <c r="J272" s="9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9"/>
      <c r="H273" s="4"/>
      <c r="I273" s="9"/>
      <c r="J273" s="9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9"/>
      <c r="H274" s="4"/>
      <c r="I274" s="9"/>
      <c r="J274" s="9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9"/>
      <c r="H275" s="4"/>
      <c r="I275" s="9"/>
      <c r="J275" s="9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9"/>
      <c r="H276" s="4"/>
      <c r="I276" s="9"/>
      <c r="J276" s="9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9"/>
      <c r="H277" s="4"/>
      <c r="I277" s="9"/>
      <c r="J277" s="9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9"/>
      <c r="H278" s="4"/>
      <c r="I278" s="9"/>
      <c r="J278" s="9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9"/>
      <c r="H279" s="4"/>
      <c r="I279" s="9"/>
      <c r="J279" s="9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9"/>
      <c r="H280" s="4"/>
      <c r="I280" s="9"/>
      <c r="J280" s="9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9"/>
      <c r="H281" s="4"/>
      <c r="I281" s="9"/>
      <c r="J281" s="9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9"/>
      <c r="H282" s="4"/>
      <c r="I282" s="9"/>
      <c r="J282" s="9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9"/>
      <c r="H283" s="4"/>
      <c r="I283" s="9"/>
      <c r="J283" s="9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9"/>
      <c r="H284" s="4"/>
      <c r="I284" s="9"/>
      <c r="J284" s="9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9"/>
      <c r="H285" s="4"/>
      <c r="I285" s="9"/>
      <c r="J285" s="9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9"/>
      <c r="H286" s="4"/>
      <c r="I286" s="9"/>
      <c r="J286" s="9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9"/>
      <c r="H287" s="4"/>
      <c r="I287" s="9"/>
      <c r="J287" s="9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9"/>
      <c r="H288" s="4"/>
      <c r="I288" s="9"/>
      <c r="J288" s="9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9"/>
      <c r="H289" s="4"/>
      <c r="I289" s="9"/>
      <c r="J289" s="9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9"/>
      <c r="H290" s="4"/>
      <c r="I290" s="9"/>
      <c r="J290" s="9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9"/>
      <c r="H291" s="4"/>
      <c r="I291" s="9"/>
      <c r="J291" s="9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9"/>
      <c r="H292" s="4"/>
      <c r="I292" s="9"/>
      <c r="J292" s="9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9"/>
      <c r="H293" s="4"/>
      <c r="I293" s="9"/>
      <c r="J293" s="9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9"/>
      <c r="H294" s="4"/>
      <c r="I294" s="9"/>
      <c r="J294" s="9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9"/>
      <c r="H295" s="4"/>
      <c r="I295" s="9"/>
      <c r="J295" s="9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9"/>
      <c r="H296" s="4"/>
      <c r="I296" s="9"/>
      <c r="J296" s="9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9"/>
      <c r="H297" s="4"/>
      <c r="I297" s="9"/>
      <c r="J297" s="9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9"/>
      <c r="H298" s="4"/>
      <c r="I298" s="9"/>
      <c r="J298" s="9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9"/>
      <c r="H299" s="4"/>
      <c r="I299" s="9"/>
      <c r="J299" s="9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9"/>
      <c r="H300" s="4"/>
      <c r="I300" s="9"/>
      <c r="J300" s="9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9"/>
      <c r="H301" s="4"/>
      <c r="I301" s="9"/>
      <c r="J301" s="9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9"/>
      <c r="H302" s="4"/>
      <c r="I302" s="9"/>
      <c r="J302" s="9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9"/>
      <c r="H303" s="4"/>
      <c r="I303" s="9"/>
      <c r="J303" s="9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9"/>
      <c r="H304" s="4"/>
      <c r="I304" s="9"/>
      <c r="J304" s="9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9"/>
      <c r="H305" s="4"/>
      <c r="I305" s="9"/>
      <c r="J305" s="9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9"/>
      <c r="H306" s="4"/>
      <c r="I306" s="9"/>
      <c r="J306" s="9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9"/>
      <c r="H307" s="4"/>
      <c r="I307" s="9"/>
      <c r="J307" s="9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9"/>
      <c r="H308" s="4"/>
      <c r="I308" s="9"/>
      <c r="J308" s="9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9"/>
      <c r="H309" s="4"/>
      <c r="I309" s="9"/>
      <c r="J309" s="9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9"/>
      <c r="H310" s="4"/>
      <c r="I310" s="9"/>
      <c r="J310" s="9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9"/>
      <c r="H311" s="4"/>
      <c r="I311" s="9"/>
      <c r="J311" s="9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9"/>
      <c r="H312" s="4"/>
      <c r="I312" s="9"/>
      <c r="J312" s="9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9"/>
      <c r="H313" s="4"/>
      <c r="I313" s="9"/>
      <c r="J313" s="9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9"/>
      <c r="H314" s="4"/>
      <c r="I314" s="9"/>
      <c r="J314" s="9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9"/>
      <c r="H315" s="4"/>
      <c r="I315" s="9"/>
      <c r="J315" s="9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9"/>
      <c r="H316" s="4"/>
      <c r="I316" s="9"/>
      <c r="J316" s="9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9"/>
      <c r="H317" s="4"/>
      <c r="I317" s="9"/>
      <c r="J317" s="9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9"/>
      <c r="H318" s="4"/>
      <c r="I318" s="9"/>
      <c r="J318" s="9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9"/>
      <c r="H319" s="4"/>
      <c r="I319" s="9"/>
      <c r="J319" s="9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9"/>
      <c r="H320" s="4"/>
      <c r="I320" s="9"/>
      <c r="J320" s="9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9"/>
      <c r="H321" s="4"/>
      <c r="I321" s="9"/>
      <c r="J321" s="9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9"/>
      <c r="H322" s="4"/>
      <c r="I322" s="9"/>
      <c r="J322" s="9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9"/>
      <c r="H323" s="4"/>
      <c r="I323" s="9"/>
      <c r="J323" s="9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9"/>
      <c r="H324" s="4"/>
      <c r="I324" s="9"/>
      <c r="J324" s="9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9"/>
      <c r="H325" s="4"/>
      <c r="I325" s="9"/>
      <c r="J325" s="9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9"/>
      <c r="H326" s="4"/>
      <c r="I326" s="9"/>
      <c r="J326" s="9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9"/>
      <c r="H327" s="4"/>
      <c r="I327" s="9"/>
      <c r="J327" s="9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9"/>
      <c r="H328" s="4"/>
      <c r="I328" s="9"/>
      <c r="J328" s="9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9"/>
      <c r="H329" s="4"/>
      <c r="I329" s="9"/>
      <c r="J329" s="9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9"/>
      <c r="H330" s="4"/>
      <c r="I330" s="9"/>
      <c r="J330" s="9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9"/>
      <c r="H331" s="4"/>
      <c r="I331" s="9"/>
      <c r="J331" s="9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9"/>
      <c r="H332" s="4"/>
      <c r="I332" s="9"/>
      <c r="J332" s="9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9"/>
      <c r="H333" s="4"/>
      <c r="I333" s="9"/>
      <c r="J333" s="9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9"/>
      <c r="H334" s="4"/>
      <c r="I334" s="9"/>
      <c r="J334" s="9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9"/>
      <c r="H335" s="4"/>
      <c r="I335" s="9"/>
      <c r="J335" s="9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9"/>
      <c r="H336" s="4"/>
      <c r="I336" s="9"/>
      <c r="J336" s="9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9"/>
      <c r="H337" s="4"/>
      <c r="I337" s="9"/>
      <c r="J337" s="9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9"/>
      <c r="H338" s="4"/>
      <c r="I338" s="9"/>
      <c r="J338" s="9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9"/>
      <c r="H339" s="4"/>
      <c r="I339" s="9"/>
      <c r="J339" s="9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9"/>
      <c r="H340" s="4"/>
      <c r="I340" s="9"/>
      <c r="J340" s="9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9"/>
      <c r="H341" s="4"/>
      <c r="I341" s="9"/>
      <c r="J341" s="9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9"/>
      <c r="H342" s="4"/>
      <c r="I342" s="9"/>
      <c r="J342" s="9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9"/>
      <c r="H343" s="4"/>
      <c r="I343" s="9"/>
      <c r="J343" s="9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9"/>
      <c r="H344" s="4"/>
      <c r="I344" s="9"/>
      <c r="J344" s="9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9"/>
      <c r="H345" s="4"/>
      <c r="I345" s="9"/>
      <c r="J345" s="9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9"/>
      <c r="H346" s="4"/>
      <c r="I346" s="9"/>
      <c r="J346" s="9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9"/>
      <c r="H347" s="4"/>
      <c r="I347" s="9"/>
      <c r="J347" s="9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9"/>
      <c r="H348" s="4"/>
      <c r="I348" s="9"/>
      <c r="J348" s="9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9"/>
      <c r="H349" s="4"/>
      <c r="I349" s="9"/>
      <c r="J349" s="9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9"/>
      <c r="H350" s="4"/>
      <c r="I350" s="9"/>
      <c r="J350" s="9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9"/>
      <c r="H351" s="4"/>
      <c r="I351" s="9"/>
      <c r="J351" s="9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9"/>
      <c r="H352" s="4"/>
      <c r="I352" s="9"/>
      <c r="J352" s="9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9"/>
      <c r="H353" s="4"/>
      <c r="I353" s="9"/>
      <c r="J353" s="9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9"/>
      <c r="H354" s="4"/>
      <c r="I354" s="9"/>
      <c r="J354" s="9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9"/>
      <c r="H355" s="4"/>
      <c r="I355" s="9"/>
      <c r="J355" s="9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9"/>
      <c r="H356" s="4"/>
      <c r="I356" s="9"/>
      <c r="J356" s="9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9"/>
      <c r="H357" s="4"/>
      <c r="I357" s="9"/>
      <c r="J357" s="9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9"/>
      <c r="H358" s="4"/>
      <c r="I358" s="9"/>
      <c r="J358" s="9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9"/>
      <c r="H359" s="4"/>
      <c r="I359" s="9"/>
      <c r="J359" s="9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9"/>
      <c r="H360" s="4"/>
      <c r="I360" s="9"/>
      <c r="J360" s="9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9"/>
      <c r="H361" s="4"/>
      <c r="I361" s="9"/>
      <c r="J361" s="9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9"/>
      <c r="H362" s="4"/>
      <c r="I362" s="9"/>
      <c r="J362" s="9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9"/>
      <c r="H363" s="4"/>
      <c r="I363" s="9"/>
      <c r="J363" s="9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9"/>
      <c r="H364" s="4"/>
      <c r="I364" s="9"/>
      <c r="J364" s="9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9"/>
      <c r="H365" s="4"/>
      <c r="I365" s="9"/>
      <c r="J365" s="9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9"/>
      <c r="H366" s="4"/>
      <c r="I366" s="9"/>
      <c r="J366" s="9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9"/>
      <c r="H367" s="4"/>
      <c r="I367" s="9"/>
      <c r="J367" s="9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9"/>
      <c r="H368" s="4"/>
      <c r="I368" s="9"/>
      <c r="J368" s="9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9"/>
      <c r="H369" s="4"/>
      <c r="I369" s="9"/>
      <c r="J369" s="9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9"/>
      <c r="H370" s="4"/>
      <c r="I370" s="9"/>
      <c r="J370" s="9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9"/>
      <c r="H371" s="4"/>
      <c r="I371" s="9"/>
      <c r="J371" s="9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9"/>
      <c r="H372" s="4"/>
      <c r="I372" s="9"/>
      <c r="J372" s="9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9"/>
      <c r="H373" s="4"/>
      <c r="I373" s="9"/>
      <c r="J373" s="9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9"/>
      <c r="H374" s="4"/>
      <c r="I374" s="9"/>
      <c r="J374" s="9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9"/>
      <c r="H375" s="4"/>
      <c r="I375" s="9"/>
      <c r="J375" s="9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9"/>
      <c r="H376" s="4"/>
      <c r="I376" s="9"/>
      <c r="J376" s="9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9"/>
      <c r="H377" s="4"/>
      <c r="I377" s="9"/>
      <c r="J377" s="9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9"/>
      <c r="H378" s="4"/>
      <c r="I378" s="9"/>
      <c r="J378" s="9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9"/>
      <c r="H379" s="4"/>
      <c r="I379" s="9"/>
      <c r="J379" s="9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9"/>
      <c r="H380" s="4"/>
      <c r="I380" s="9"/>
      <c r="J380" s="9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9"/>
      <c r="H381" s="4"/>
      <c r="I381" s="9"/>
      <c r="J381" s="9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9"/>
      <c r="H382" s="4"/>
      <c r="I382" s="9"/>
      <c r="J382" s="9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9"/>
      <c r="H383" s="4"/>
      <c r="I383" s="9"/>
      <c r="J383" s="9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9"/>
      <c r="H384" s="4"/>
      <c r="I384" s="9"/>
      <c r="J384" s="9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9"/>
      <c r="H385" s="4"/>
      <c r="I385" s="9"/>
      <c r="J385" s="9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9"/>
      <c r="H386" s="4"/>
      <c r="I386" s="9"/>
      <c r="J386" s="9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9"/>
      <c r="H387" s="4"/>
      <c r="I387" s="9"/>
      <c r="J387" s="9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9"/>
      <c r="H388" s="4"/>
      <c r="I388" s="9"/>
      <c r="J388" s="9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9"/>
      <c r="H389" s="4"/>
      <c r="I389" s="9"/>
      <c r="J389" s="9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9"/>
      <c r="H390" s="4"/>
      <c r="I390" s="9"/>
      <c r="J390" s="9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9"/>
      <c r="H391" s="4"/>
      <c r="I391" s="9"/>
      <c r="J391" s="9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9"/>
      <c r="H392" s="4"/>
      <c r="I392" s="9"/>
      <c r="J392" s="9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9"/>
      <c r="H393" s="4"/>
      <c r="I393" s="9"/>
      <c r="J393" s="9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9"/>
      <c r="H394" s="4"/>
      <c r="I394" s="9"/>
      <c r="J394" s="9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9"/>
      <c r="H395" s="4"/>
      <c r="I395" s="9"/>
      <c r="J395" s="9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9"/>
      <c r="H396" s="4"/>
      <c r="I396" s="9"/>
      <c r="J396" s="9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9"/>
      <c r="H397" s="4"/>
      <c r="I397" s="9"/>
      <c r="J397" s="9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9"/>
      <c r="H398" s="4"/>
      <c r="I398" s="9"/>
      <c r="J398" s="9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9"/>
      <c r="H399" s="4"/>
      <c r="I399" s="9"/>
      <c r="J399" s="9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9"/>
      <c r="H400" s="4"/>
      <c r="I400" s="9"/>
      <c r="J400" s="9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9"/>
      <c r="H401" s="4"/>
      <c r="I401" s="9"/>
      <c r="J401" s="9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9"/>
      <c r="H402" s="4"/>
      <c r="I402" s="9"/>
      <c r="J402" s="9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9"/>
      <c r="H403" s="4"/>
      <c r="I403" s="9"/>
      <c r="J403" s="9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9"/>
      <c r="H404" s="4"/>
      <c r="I404" s="9"/>
      <c r="J404" s="9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9"/>
      <c r="H405" s="4"/>
      <c r="I405" s="9"/>
      <c r="J405" s="9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9"/>
      <c r="H406" s="4"/>
      <c r="I406" s="9"/>
      <c r="J406" s="9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9"/>
      <c r="H407" s="4"/>
      <c r="I407" s="9"/>
      <c r="J407" s="9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9"/>
      <c r="H408" s="4"/>
      <c r="I408" s="9"/>
      <c r="J408" s="9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9"/>
      <c r="H409" s="4"/>
      <c r="I409" s="9"/>
      <c r="J409" s="9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9"/>
      <c r="H410" s="4"/>
      <c r="I410" s="9"/>
      <c r="J410" s="9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9"/>
      <c r="H411" s="4"/>
      <c r="I411" s="9"/>
      <c r="J411" s="9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9"/>
      <c r="H412" s="4"/>
      <c r="I412" s="9"/>
      <c r="J412" s="9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9"/>
      <c r="H413" s="4"/>
      <c r="I413" s="9"/>
      <c r="J413" s="9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9"/>
      <c r="H414" s="4"/>
      <c r="I414" s="9"/>
      <c r="J414" s="9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9"/>
      <c r="H415" s="4"/>
      <c r="I415" s="9"/>
      <c r="J415" s="9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9"/>
      <c r="H416" s="4"/>
      <c r="I416" s="9"/>
      <c r="J416" s="9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9"/>
      <c r="H417" s="4"/>
      <c r="I417" s="9"/>
      <c r="J417" s="9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9"/>
      <c r="H418" s="4"/>
      <c r="I418" s="9"/>
      <c r="J418" s="9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9"/>
      <c r="H419" s="4"/>
      <c r="I419" s="9"/>
      <c r="J419" s="9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9"/>
      <c r="H420" s="4"/>
      <c r="I420" s="9"/>
      <c r="J420" s="9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9"/>
      <c r="H421" s="4"/>
      <c r="I421" s="9"/>
      <c r="J421" s="9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9"/>
      <c r="H422" s="4"/>
      <c r="I422" s="9"/>
      <c r="J422" s="9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9"/>
      <c r="H423" s="4"/>
      <c r="I423" s="9"/>
      <c r="J423" s="9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9"/>
      <c r="H424" s="4"/>
      <c r="I424" s="9"/>
      <c r="J424" s="9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9"/>
      <c r="H425" s="4"/>
      <c r="I425" s="9"/>
      <c r="J425" s="9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9"/>
      <c r="H426" s="4"/>
      <c r="I426" s="9"/>
      <c r="J426" s="9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9"/>
      <c r="H427" s="4"/>
      <c r="I427" s="9"/>
      <c r="J427" s="9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9"/>
      <c r="H428" s="4"/>
      <c r="I428" s="9"/>
      <c r="J428" s="9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9"/>
      <c r="H429" s="4"/>
      <c r="I429" s="9"/>
      <c r="J429" s="9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9"/>
      <c r="H430" s="4"/>
      <c r="I430" s="9"/>
      <c r="J430" s="9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9"/>
      <c r="H431" s="4"/>
      <c r="I431" s="9"/>
      <c r="J431" s="9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9"/>
      <c r="H432" s="4"/>
      <c r="I432" s="9"/>
      <c r="J432" s="9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9"/>
      <c r="H433" s="4"/>
      <c r="I433" s="9"/>
      <c r="J433" s="9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9"/>
      <c r="H434" s="4"/>
      <c r="I434" s="9"/>
      <c r="J434" s="9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9"/>
      <c r="H435" s="4"/>
      <c r="I435" s="9"/>
      <c r="J435" s="9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9"/>
      <c r="H436" s="4"/>
      <c r="I436" s="9"/>
      <c r="J436" s="9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9"/>
      <c r="H437" s="4"/>
      <c r="I437" s="9"/>
      <c r="J437" s="9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9"/>
      <c r="H438" s="4"/>
      <c r="I438" s="9"/>
      <c r="J438" s="9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9"/>
      <c r="H439" s="4"/>
      <c r="I439" s="9"/>
      <c r="J439" s="9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9"/>
      <c r="H440" s="4"/>
      <c r="I440" s="9"/>
      <c r="J440" s="9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9"/>
      <c r="H441" s="4"/>
      <c r="I441" s="9"/>
      <c r="J441" s="9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9"/>
      <c r="H442" s="4"/>
      <c r="I442" s="9"/>
      <c r="J442" s="9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9"/>
      <c r="H443" s="4"/>
      <c r="I443" s="9"/>
      <c r="J443" s="9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9"/>
      <c r="H444" s="4"/>
      <c r="I444" s="9"/>
      <c r="J444" s="9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9"/>
      <c r="H445" s="4"/>
      <c r="I445" s="9"/>
      <c r="J445" s="9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9"/>
      <c r="H446" s="4"/>
      <c r="I446" s="9"/>
      <c r="J446" s="9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9"/>
      <c r="H447" s="4"/>
      <c r="I447" s="9"/>
      <c r="J447" s="9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9"/>
      <c r="H448" s="4"/>
      <c r="I448" s="9"/>
      <c r="J448" s="9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9"/>
      <c r="H449" s="4"/>
      <c r="I449" s="9"/>
      <c r="J449" s="9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9"/>
      <c r="H450" s="4"/>
      <c r="I450" s="9"/>
      <c r="J450" s="9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9"/>
      <c r="H451" s="4"/>
      <c r="I451" s="9"/>
      <c r="J451" s="9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9"/>
      <c r="H452" s="4"/>
      <c r="I452" s="9"/>
      <c r="J452" s="9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9"/>
      <c r="H453" s="4"/>
      <c r="I453" s="9"/>
      <c r="J453" s="9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9"/>
      <c r="H454" s="4"/>
      <c r="I454" s="9"/>
      <c r="J454" s="9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9"/>
      <c r="H455" s="4"/>
      <c r="I455" s="9"/>
      <c r="J455" s="9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9"/>
      <c r="H456" s="4"/>
      <c r="I456" s="9"/>
      <c r="J456" s="9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9"/>
      <c r="H457" s="4"/>
      <c r="I457" s="9"/>
      <c r="J457" s="9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9"/>
      <c r="H458" s="4"/>
      <c r="I458" s="9"/>
      <c r="J458" s="9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9"/>
      <c r="H459" s="4"/>
      <c r="I459" s="9"/>
      <c r="J459" s="9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9"/>
      <c r="H460" s="4"/>
      <c r="I460" s="9"/>
      <c r="J460" s="9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9"/>
      <c r="H461" s="4"/>
      <c r="I461" s="9"/>
      <c r="J461" s="9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9"/>
      <c r="H462" s="4"/>
      <c r="I462" s="9"/>
      <c r="J462" s="9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9"/>
      <c r="H463" s="4"/>
      <c r="I463" s="9"/>
      <c r="J463" s="9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9"/>
      <c r="H464" s="4"/>
      <c r="I464" s="9"/>
      <c r="J464" s="9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9"/>
      <c r="H465" s="4"/>
      <c r="I465" s="9"/>
      <c r="J465" s="9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9"/>
      <c r="H466" s="4"/>
      <c r="I466" s="9"/>
      <c r="J466" s="9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9"/>
      <c r="H467" s="4"/>
      <c r="I467" s="9"/>
      <c r="J467" s="9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9"/>
      <c r="H468" s="4"/>
      <c r="I468" s="9"/>
      <c r="J468" s="9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9"/>
      <c r="H469" s="4"/>
      <c r="I469" s="9"/>
      <c r="J469" s="9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9"/>
      <c r="H470" s="4"/>
      <c r="I470" s="9"/>
      <c r="J470" s="9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9"/>
      <c r="H471" s="4"/>
      <c r="I471" s="9"/>
      <c r="J471" s="9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9"/>
      <c r="H472" s="4"/>
      <c r="I472" s="9"/>
      <c r="J472" s="9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9"/>
      <c r="H473" s="4"/>
      <c r="I473" s="9"/>
      <c r="J473" s="9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9"/>
      <c r="H474" s="4"/>
      <c r="I474" s="9"/>
      <c r="J474" s="9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9"/>
      <c r="H475" s="4"/>
      <c r="I475" s="9"/>
      <c r="J475" s="9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9"/>
      <c r="H476" s="4"/>
      <c r="I476" s="9"/>
      <c r="J476" s="9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9"/>
      <c r="H477" s="4"/>
      <c r="I477" s="9"/>
      <c r="J477" s="9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9"/>
      <c r="H478" s="4"/>
      <c r="I478" s="9"/>
      <c r="J478" s="9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9"/>
      <c r="H479" s="4"/>
      <c r="I479" s="9"/>
      <c r="J479" s="9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9"/>
      <c r="H480" s="4"/>
      <c r="I480" s="9"/>
      <c r="J480" s="9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9"/>
      <c r="H481" s="4"/>
      <c r="I481" s="9"/>
      <c r="J481" s="9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9"/>
      <c r="H482" s="4"/>
      <c r="I482" s="9"/>
      <c r="J482" s="9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9"/>
      <c r="H483" s="4"/>
      <c r="I483" s="9"/>
      <c r="J483" s="9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9"/>
      <c r="H484" s="4"/>
      <c r="I484" s="9"/>
      <c r="J484" s="9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9"/>
      <c r="H485" s="4"/>
      <c r="I485" s="9"/>
      <c r="J485" s="9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9"/>
      <c r="H486" s="4"/>
      <c r="I486" s="9"/>
      <c r="J486" s="9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9"/>
      <c r="H487" s="4"/>
      <c r="I487" s="9"/>
      <c r="J487" s="9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9"/>
      <c r="H488" s="4"/>
      <c r="I488" s="9"/>
      <c r="J488" s="9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9"/>
      <c r="H489" s="4"/>
      <c r="I489" s="9"/>
      <c r="J489" s="9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9"/>
      <c r="H490" s="4"/>
      <c r="I490" s="9"/>
      <c r="J490" s="9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9"/>
      <c r="H491" s="4"/>
      <c r="I491" s="9"/>
      <c r="J491" s="9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9"/>
      <c r="H492" s="4"/>
      <c r="I492" s="9"/>
      <c r="J492" s="9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9"/>
      <c r="H493" s="4"/>
      <c r="I493" s="9"/>
      <c r="J493" s="9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9"/>
      <c r="H494" s="4"/>
      <c r="I494" s="9"/>
      <c r="J494" s="9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9"/>
      <c r="H495" s="4"/>
      <c r="I495" s="9"/>
      <c r="J495" s="9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9"/>
      <c r="H496" s="4"/>
      <c r="I496" s="9"/>
      <c r="J496" s="9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9"/>
      <c r="H497" s="4"/>
      <c r="I497" s="9"/>
      <c r="J497" s="9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9"/>
      <c r="H498" s="4"/>
      <c r="I498" s="9"/>
      <c r="J498" s="9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9"/>
      <c r="H499" s="4"/>
      <c r="I499" s="9"/>
      <c r="J499" s="9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9"/>
      <c r="H500" s="4"/>
      <c r="I500" s="9"/>
      <c r="J500" s="9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9"/>
      <c r="H501" s="4"/>
      <c r="I501" s="9"/>
      <c r="J501" s="9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9"/>
      <c r="H502" s="4"/>
      <c r="I502" s="9"/>
      <c r="J502" s="9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9"/>
      <c r="H503" s="4"/>
      <c r="I503" s="9"/>
      <c r="J503" s="9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9"/>
      <c r="H504" s="4"/>
      <c r="I504" s="9"/>
      <c r="J504" s="9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9"/>
      <c r="H505" s="4"/>
      <c r="I505" s="9"/>
      <c r="J505" s="9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9"/>
      <c r="H506" s="4"/>
      <c r="I506" s="9"/>
      <c r="J506" s="9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9"/>
      <c r="H507" s="4"/>
      <c r="I507" s="9"/>
      <c r="J507" s="9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9"/>
      <c r="H508" s="4"/>
      <c r="I508" s="9"/>
      <c r="J508" s="9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9"/>
      <c r="H509" s="4"/>
      <c r="I509" s="9"/>
      <c r="J509" s="9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9"/>
      <c r="H510" s="4"/>
      <c r="I510" s="9"/>
      <c r="J510" s="9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9"/>
      <c r="H511" s="4"/>
      <c r="I511" s="9"/>
      <c r="J511" s="9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9"/>
      <c r="H512" s="4"/>
      <c r="I512" s="9"/>
      <c r="J512" s="9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9"/>
      <c r="H513" s="4"/>
      <c r="I513" s="9"/>
      <c r="J513" s="9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9"/>
      <c r="H514" s="4"/>
      <c r="I514" s="9"/>
      <c r="J514" s="9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9"/>
      <c r="H515" s="4"/>
      <c r="I515" s="9"/>
      <c r="J515" s="9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9"/>
      <c r="H516" s="4"/>
      <c r="I516" s="9"/>
      <c r="J516" s="9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9"/>
      <c r="H517" s="4"/>
      <c r="I517" s="9"/>
      <c r="J517" s="9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9"/>
      <c r="H518" s="4"/>
      <c r="I518" s="9"/>
      <c r="J518" s="9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9"/>
      <c r="H519" s="4"/>
      <c r="I519" s="9"/>
      <c r="J519" s="9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9"/>
      <c r="H520" s="4"/>
      <c r="I520" s="9"/>
      <c r="J520" s="9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9"/>
      <c r="H521" s="4"/>
      <c r="I521" s="9"/>
      <c r="J521" s="9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9"/>
      <c r="H522" s="4"/>
      <c r="I522" s="9"/>
      <c r="J522" s="9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9"/>
      <c r="H523" s="4"/>
      <c r="I523" s="9"/>
      <c r="J523" s="9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9"/>
      <c r="H524" s="4"/>
      <c r="I524" s="9"/>
      <c r="J524" s="9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9"/>
      <c r="H525" s="4"/>
      <c r="I525" s="9"/>
      <c r="J525" s="9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9"/>
      <c r="H526" s="4"/>
      <c r="I526" s="9"/>
      <c r="J526" s="9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9"/>
      <c r="H527" s="4"/>
      <c r="I527" s="9"/>
      <c r="J527" s="9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9"/>
      <c r="H528" s="4"/>
      <c r="I528" s="9"/>
      <c r="J528" s="9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9"/>
      <c r="H529" s="4"/>
      <c r="I529" s="9"/>
      <c r="J529" s="9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9"/>
      <c r="H530" s="4"/>
      <c r="I530" s="9"/>
      <c r="J530" s="9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9"/>
      <c r="H531" s="4"/>
      <c r="I531" s="9"/>
      <c r="J531" s="9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9"/>
      <c r="H532" s="4"/>
      <c r="I532" s="9"/>
      <c r="J532" s="9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9"/>
      <c r="H533" s="4"/>
      <c r="I533" s="9"/>
      <c r="J533" s="9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9"/>
      <c r="H534" s="4"/>
      <c r="I534" s="9"/>
      <c r="J534" s="9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9"/>
      <c r="H535" s="4"/>
      <c r="I535" s="9"/>
      <c r="J535" s="9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9"/>
      <c r="H536" s="4"/>
      <c r="I536" s="9"/>
      <c r="J536" s="9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9"/>
      <c r="H537" s="4"/>
      <c r="I537" s="9"/>
      <c r="J537" s="9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9"/>
      <c r="H538" s="4"/>
      <c r="I538" s="9"/>
      <c r="J538" s="9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9"/>
      <c r="H539" s="4"/>
      <c r="I539" s="9"/>
      <c r="J539" s="9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9"/>
      <c r="H540" s="4"/>
      <c r="I540" s="9"/>
      <c r="J540" s="9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9"/>
      <c r="H541" s="4"/>
      <c r="I541" s="9"/>
      <c r="J541" s="9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9"/>
      <c r="H542" s="4"/>
      <c r="I542" s="9"/>
      <c r="J542" s="9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9"/>
      <c r="H543" s="4"/>
      <c r="I543" s="9"/>
      <c r="J543" s="9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9"/>
      <c r="H544" s="4"/>
      <c r="I544" s="9"/>
      <c r="J544" s="9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9"/>
      <c r="H545" s="4"/>
      <c r="I545" s="9"/>
      <c r="J545" s="9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9"/>
      <c r="H546" s="4"/>
      <c r="I546" s="9"/>
      <c r="J546" s="9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9"/>
      <c r="H547" s="4"/>
      <c r="I547" s="9"/>
      <c r="J547" s="9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9"/>
      <c r="H548" s="4"/>
      <c r="I548" s="9"/>
      <c r="J548" s="9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9"/>
      <c r="H549" s="4"/>
      <c r="I549" s="9"/>
      <c r="J549" s="9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9"/>
      <c r="H550" s="4"/>
      <c r="I550" s="9"/>
      <c r="J550" s="9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9"/>
      <c r="H551" s="4"/>
      <c r="I551" s="9"/>
      <c r="J551" s="9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9"/>
      <c r="H552" s="4"/>
      <c r="I552" s="9"/>
      <c r="J552" s="9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9"/>
      <c r="H553" s="4"/>
      <c r="I553" s="9"/>
      <c r="J553" s="9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9"/>
      <c r="H554" s="4"/>
      <c r="I554" s="9"/>
      <c r="J554" s="9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9"/>
      <c r="H555" s="4"/>
      <c r="I555" s="9"/>
      <c r="J555" s="9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9"/>
      <c r="H556" s="4"/>
      <c r="I556" s="9"/>
      <c r="J556" s="9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9"/>
      <c r="H557" s="4"/>
      <c r="I557" s="9"/>
      <c r="J557" s="9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9"/>
      <c r="H558" s="4"/>
      <c r="I558" s="9"/>
      <c r="J558" s="9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9"/>
      <c r="H559" s="4"/>
      <c r="I559" s="9"/>
      <c r="J559" s="9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9"/>
      <c r="H560" s="4"/>
      <c r="I560" s="9"/>
      <c r="J560" s="9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9"/>
      <c r="H561" s="4"/>
      <c r="I561" s="9"/>
      <c r="J561" s="9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9"/>
      <c r="H562" s="4"/>
      <c r="I562" s="9"/>
      <c r="J562" s="9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9"/>
      <c r="H563" s="4"/>
      <c r="I563" s="9"/>
      <c r="J563" s="9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9"/>
      <c r="H564" s="4"/>
      <c r="I564" s="9"/>
      <c r="J564" s="9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9"/>
      <c r="H565" s="4"/>
      <c r="I565" s="9"/>
      <c r="J565" s="9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9"/>
      <c r="H566" s="4"/>
      <c r="I566" s="9"/>
      <c r="J566" s="9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9"/>
      <c r="H567" s="4"/>
      <c r="I567" s="9"/>
      <c r="J567" s="9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9"/>
      <c r="H568" s="4"/>
      <c r="I568" s="9"/>
      <c r="J568" s="9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9"/>
      <c r="H569" s="4"/>
      <c r="I569" s="9"/>
      <c r="J569" s="9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9"/>
      <c r="H570" s="4"/>
      <c r="I570" s="9"/>
      <c r="J570" s="9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9"/>
      <c r="H571" s="4"/>
      <c r="I571" s="9"/>
      <c r="J571" s="9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9"/>
      <c r="H572" s="4"/>
      <c r="I572" s="9"/>
      <c r="J572" s="9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9"/>
      <c r="H573" s="4"/>
      <c r="I573" s="9"/>
      <c r="J573" s="9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9"/>
      <c r="H574" s="4"/>
      <c r="I574" s="9"/>
      <c r="J574" s="9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9"/>
      <c r="H575" s="4"/>
      <c r="I575" s="9"/>
      <c r="J575" s="9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9"/>
      <c r="H576" s="4"/>
      <c r="I576" s="9"/>
      <c r="J576" s="9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9"/>
      <c r="H577" s="4"/>
      <c r="I577" s="9"/>
      <c r="J577" s="9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9"/>
      <c r="H578" s="4"/>
      <c r="I578" s="9"/>
      <c r="J578" s="9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9"/>
      <c r="H579" s="4"/>
      <c r="I579" s="9"/>
      <c r="J579" s="9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9"/>
      <c r="H580" s="4"/>
      <c r="I580" s="9"/>
      <c r="J580" s="9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9"/>
      <c r="H581" s="4"/>
      <c r="I581" s="9"/>
      <c r="J581" s="9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9"/>
      <c r="H582" s="4"/>
      <c r="I582" s="9"/>
      <c r="J582" s="9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9"/>
      <c r="H583" s="4"/>
      <c r="I583" s="9"/>
      <c r="J583" s="9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9"/>
      <c r="H584" s="4"/>
      <c r="I584" s="9"/>
      <c r="J584" s="9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9"/>
      <c r="H585" s="4"/>
      <c r="I585" s="9"/>
      <c r="J585" s="9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9"/>
      <c r="H586" s="4"/>
      <c r="I586" s="9"/>
      <c r="J586" s="9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9"/>
      <c r="H587" s="4"/>
      <c r="I587" s="9"/>
      <c r="J587" s="9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9"/>
      <c r="H588" s="4"/>
      <c r="I588" s="9"/>
      <c r="J588" s="9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9"/>
      <c r="H589" s="4"/>
      <c r="I589" s="9"/>
      <c r="J589" s="9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9"/>
      <c r="H590" s="4"/>
      <c r="I590" s="9"/>
      <c r="J590" s="9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9"/>
      <c r="H591" s="4"/>
      <c r="I591" s="9"/>
      <c r="J591" s="9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9"/>
      <c r="H592" s="4"/>
      <c r="I592" s="9"/>
      <c r="J592" s="9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9"/>
      <c r="H593" s="4"/>
      <c r="I593" s="9"/>
      <c r="J593" s="9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9"/>
      <c r="H594" s="4"/>
      <c r="I594" s="9"/>
      <c r="J594" s="9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9"/>
      <c r="H595" s="4"/>
      <c r="I595" s="9"/>
      <c r="J595" s="9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9"/>
      <c r="H596" s="4"/>
      <c r="I596" s="9"/>
      <c r="J596" s="9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9"/>
      <c r="H597" s="4"/>
      <c r="I597" s="9"/>
      <c r="J597" s="9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9"/>
      <c r="H598" s="4"/>
      <c r="I598" s="9"/>
      <c r="J598" s="9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9"/>
      <c r="H599" s="4"/>
      <c r="I599" s="9"/>
      <c r="J599" s="9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9"/>
      <c r="H600" s="4"/>
      <c r="I600" s="9"/>
      <c r="J600" s="9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9"/>
      <c r="H601" s="4"/>
      <c r="I601" s="9"/>
      <c r="J601" s="9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9"/>
      <c r="H602" s="4"/>
      <c r="I602" s="9"/>
      <c r="J602" s="9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9"/>
      <c r="H603" s="4"/>
      <c r="I603" s="9"/>
      <c r="J603" s="9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9"/>
      <c r="H604" s="4"/>
      <c r="I604" s="9"/>
      <c r="J604" s="9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9"/>
      <c r="H605" s="4"/>
      <c r="I605" s="9"/>
      <c r="J605" s="9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9"/>
      <c r="H606" s="4"/>
      <c r="I606" s="9"/>
      <c r="J606" s="9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9"/>
      <c r="H607" s="4"/>
      <c r="I607" s="9"/>
      <c r="J607" s="9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9"/>
      <c r="H608" s="4"/>
      <c r="I608" s="9"/>
      <c r="J608" s="9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9"/>
      <c r="H609" s="4"/>
      <c r="I609" s="9"/>
      <c r="J609" s="9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9"/>
      <c r="H610" s="4"/>
      <c r="I610" s="9"/>
      <c r="J610" s="9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9"/>
      <c r="H611" s="4"/>
      <c r="I611" s="9"/>
      <c r="J611" s="9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9"/>
      <c r="H612" s="4"/>
      <c r="I612" s="9"/>
      <c r="J612" s="9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9"/>
      <c r="H613" s="4"/>
      <c r="I613" s="9"/>
      <c r="J613" s="9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9"/>
      <c r="H614" s="4"/>
      <c r="I614" s="9"/>
      <c r="J614" s="9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9"/>
      <c r="H615" s="4"/>
      <c r="I615" s="9"/>
      <c r="J615" s="9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9"/>
      <c r="H616" s="4"/>
      <c r="I616" s="9"/>
      <c r="J616" s="9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9"/>
      <c r="H617" s="4"/>
      <c r="I617" s="9"/>
      <c r="J617" s="9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9"/>
      <c r="H618" s="4"/>
      <c r="I618" s="9"/>
      <c r="J618" s="9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9"/>
      <c r="H619" s="4"/>
      <c r="I619" s="9"/>
      <c r="J619" s="9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9"/>
      <c r="H620" s="4"/>
      <c r="I620" s="9"/>
      <c r="J620" s="9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9"/>
      <c r="H621" s="4"/>
      <c r="I621" s="9"/>
      <c r="J621" s="9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9"/>
      <c r="H622" s="4"/>
      <c r="I622" s="9"/>
      <c r="J622" s="9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9"/>
      <c r="H623" s="4"/>
      <c r="I623" s="9"/>
      <c r="J623" s="9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9"/>
      <c r="H624" s="4"/>
      <c r="I624" s="9"/>
      <c r="J624" s="9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9"/>
      <c r="H625" s="4"/>
      <c r="I625" s="9"/>
      <c r="J625" s="9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9"/>
      <c r="H626" s="4"/>
      <c r="I626" s="9"/>
      <c r="J626" s="9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9"/>
      <c r="H627" s="4"/>
      <c r="I627" s="9"/>
      <c r="J627" s="9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9"/>
      <c r="H628" s="4"/>
      <c r="I628" s="9"/>
      <c r="J628" s="9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9"/>
      <c r="H629" s="4"/>
      <c r="I629" s="9"/>
      <c r="J629" s="9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9"/>
      <c r="H630" s="4"/>
      <c r="I630" s="9"/>
      <c r="J630" s="9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9"/>
      <c r="H631" s="4"/>
      <c r="I631" s="9"/>
      <c r="J631" s="9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9"/>
      <c r="H632" s="4"/>
      <c r="I632" s="9"/>
      <c r="J632" s="9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9"/>
      <c r="H633" s="4"/>
      <c r="I633" s="9"/>
      <c r="J633" s="9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9"/>
      <c r="H634" s="4"/>
      <c r="I634" s="9"/>
      <c r="J634" s="9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9"/>
      <c r="H635" s="4"/>
      <c r="I635" s="9"/>
      <c r="J635" s="9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9"/>
      <c r="H636" s="4"/>
      <c r="I636" s="9"/>
      <c r="J636" s="9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9"/>
      <c r="H637" s="4"/>
      <c r="I637" s="9"/>
      <c r="J637" s="9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9"/>
      <c r="H638" s="4"/>
      <c r="I638" s="9"/>
      <c r="J638" s="9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9"/>
      <c r="H639" s="4"/>
      <c r="I639" s="9"/>
      <c r="J639" s="9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9"/>
      <c r="H640" s="4"/>
      <c r="I640" s="9"/>
      <c r="J640" s="9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9"/>
      <c r="H641" s="4"/>
      <c r="I641" s="9"/>
      <c r="J641" s="9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9"/>
      <c r="H642" s="4"/>
      <c r="I642" s="9"/>
      <c r="J642" s="9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9"/>
      <c r="H643" s="4"/>
      <c r="I643" s="9"/>
      <c r="J643" s="9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9"/>
      <c r="H644" s="4"/>
      <c r="I644" s="9"/>
      <c r="J644" s="9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9"/>
      <c r="H645" s="4"/>
      <c r="I645" s="9"/>
      <c r="J645" s="9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9"/>
      <c r="H646" s="4"/>
      <c r="I646" s="9"/>
      <c r="J646" s="9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9"/>
      <c r="H647" s="4"/>
      <c r="I647" s="9"/>
      <c r="J647" s="9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9"/>
      <c r="H648" s="4"/>
      <c r="I648" s="9"/>
      <c r="J648" s="9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9"/>
      <c r="H649" s="4"/>
      <c r="I649" s="9"/>
      <c r="J649" s="9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9"/>
      <c r="H650" s="4"/>
      <c r="I650" s="9"/>
      <c r="J650" s="9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9"/>
      <c r="H651" s="4"/>
      <c r="I651" s="9"/>
      <c r="J651" s="9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9"/>
      <c r="H652" s="4"/>
      <c r="I652" s="9"/>
      <c r="J652" s="9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9"/>
      <c r="H653" s="4"/>
      <c r="I653" s="9"/>
      <c r="J653" s="9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9"/>
      <c r="H654" s="4"/>
      <c r="I654" s="9"/>
      <c r="J654" s="9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9"/>
      <c r="H655" s="4"/>
      <c r="I655" s="9"/>
      <c r="J655" s="9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9"/>
      <c r="H656" s="4"/>
      <c r="I656" s="9"/>
      <c r="J656" s="9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9"/>
      <c r="H657" s="4"/>
      <c r="I657" s="9"/>
      <c r="J657" s="9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9"/>
      <c r="H658" s="4"/>
      <c r="I658" s="9"/>
      <c r="J658" s="9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9"/>
      <c r="H659" s="4"/>
      <c r="I659" s="9"/>
      <c r="J659" s="9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9"/>
      <c r="H660" s="4"/>
      <c r="I660" s="9"/>
      <c r="J660" s="9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9"/>
      <c r="H661" s="4"/>
      <c r="I661" s="9"/>
      <c r="J661" s="9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9"/>
      <c r="H662" s="4"/>
      <c r="I662" s="9"/>
      <c r="J662" s="9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9"/>
      <c r="H663" s="4"/>
      <c r="I663" s="9"/>
      <c r="J663" s="9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9"/>
      <c r="H664" s="4"/>
      <c r="I664" s="9"/>
      <c r="J664" s="9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9"/>
      <c r="H665" s="4"/>
      <c r="I665" s="9"/>
      <c r="J665" s="9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9"/>
      <c r="H666" s="4"/>
      <c r="I666" s="9"/>
      <c r="J666" s="9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9"/>
      <c r="H667" s="4"/>
      <c r="I667" s="9"/>
      <c r="J667" s="9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9"/>
      <c r="H668" s="4"/>
      <c r="I668" s="9"/>
      <c r="J668" s="9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9"/>
      <c r="H669" s="4"/>
      <c r="I669" s="9"/>
      <c r="J669" s="9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9"/>
      <c r="H670" s="4"/>
      <c r="I670" s="9"/>
      <c r="J670" s="9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9"/>
      <c r="H671" s="4"/>
      <c r="I671" s="9"/>
      <c r="J671" s="9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9"/>
      <c r="H672" s="4"/>
      <c r="I672" s="9"/>
      <c r="J672" s="9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9"/>
      <c r="H673" s="4"/>
      <c r="I673" s="9"/>
      <c r="J673" s="9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9"/>
      <c r="H674" s="4"/>
      <c r="I674" s="9"/>
      <c r="J674" s="9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9"/>
      <c r="H675" s="4"/>
      <c r="I675" s="9"/>
      <c r="J675" s="9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9"/>
      <c r="H676" s="4"/>
      <c r="I676" s="9"/>
      <c r="J676" s="9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9"/>
      <c r="H677" s="4"/>
      <c r="I677" s="9"/>
      <c r="J677" s="9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9"/>
      <c r="H678" s="4"/>
      <c r="I678" s="9"/>
      <c r="J678" s="9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9"/>
      <c r="H679" s="4"/>
      <c r="I679" s="9"/>
      <c r="J679" s="9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9"/>
      <c r="H680" s="4"/>
      <c r="I680" s="9"/>
      <c r="J680" s="9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9"/>
      <c r="H681" s="4"/>
      <c r="I681" s="9"/>
      <c r="J681" s="9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9"/>
      <c r="H682" s="4"/>
      <c r="I682" s="9"/>
      <c r="J682" s="9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9"/>
      <c r="H683" s="4"/>
      <c r="I683" s="9"/>
      <c r="J683" s="9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9"/>
      <c r="H684" s="4"/>
      <c r="I684" s="9"/>
      <c r="J684" s="9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9"/>
      <c r="H685" s="4"/>
      <c r="I685" s="9"/>
      <c r="J685" s="9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9"/>
      <c r="H686" s="4"/>
      <c r="I686" s="9"/>
      <c r="J686" s="9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9"/>
      <c r="H687" s="4"/>
      <c r="I687" s="9"/>
      <c r="J687" s="9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9"/>
      <c r="H688" s="4"/>
      <c r="I688" s="9"/>
      <c r="J688" s="9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9"/>
      <c r="H689" s="4"/>
      <c r="I689" s="9"/>
      <c r="J689" s="9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9"/>
      <c r="H690" s="4"/>
      <c r="I690" s="9"/>
      <c r="J690" s="9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9"/>
      <c r="H691" s="4"/>
      <c r="I691" s="9"/>
      <c r="J691" s="9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9"/>
      <c r="H692" s="4"/>
      <c r="I692" s="9"/>
      <c r="J692" s="9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9"/>
      <c r="H693" s="4"/>
      <c r="I693" s="9"/>
      <c r="J693" s="9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9"/>
      <c r="H694" s="4"/>
      <c r="I694" s="9"/>
      <c r="J694" s="9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9"/>
      <c r="H695" s="4"/>
      <c r="I695" s="9"/>
      <c r="J695" s="9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9"/>
      <c r="H696" s="4"/>
      <c r="I696" s="9"/>
      <c r="J696" s="9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9"/>
      <c r="H697" s="4"/>
      <c r="I697" s="9"/>
      <c r="J697" s="9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9"/>
      <c r="H698" s="4"/>
      <c r="I698" s="9"/>
      <c r="J698" s="9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9"/>
      <c r="H699" s="4"/>
      <c r="I699" s="9"/>
      <c r="J699" s="9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9"/>
      <c r="H700" s="4"/>
      <c r="I700" s="9"/>
      <c r="J700" s="9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9"/>
      <c r="H701" s="4"/>
      <c r="I701" s="9"/>
      <c r="J701" s="9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9"/>
      <c r="H702" s="4"/>
      <c r="I702" s="9"/>
      <c r="J702" s="9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9"/>
      <c r="H703" s="4"/>
      <c r="I703" s="9"/>
      <c r="J703" s="9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9"/>
      <c r="H704" s="4"/>
      <c r="I704" s="9"/>
      <c r="J704" s="9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9"/>
      <c r="H705" s="4"/>
      <c r="I705" s="9"/>
      <c r="J705" s="9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9"/>
      <c r="H706" s="4"/>
      <c r="I706" s="9"/>
      <c r="J706" s="9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9"/>
      <c r="H707" s="4"/>
      <c r="I707" s="9"/>
      <c r="J707" s="9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9"/>
      <c r="H708" s="4"/>
      <c r="I708" s="9"/>
      <c r="J708" s="9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9"/>
      <c r="H709" s="4"/>
      <c r="I709" s="9"/>
      <c r="J709" s="9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9"/>
      <c r="H710" s="4"/>
      <c r="I710" s="9"/>
      <c r="J710" s="9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9"/>
      <c r="H711" s="4"/>
      <c r="I711" s="9"/>
      <c r="J711" s="9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9"/>
      <c r="H712" s="4"/>
      <c r="I712" s="9"/>
      <c r="J712" s="9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9"/>
      <c r="H713" s="4"/>
      <c r="I713" s="9"/>
      <c r="J713" s="9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9"/>
      <c r="H714" s="4"/>
      <c r="I714" s="9"/>
      <c r="J714" s="9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9"/>
      <c r="H715" s="4"/>
      <c r="I715" s="9"/>
      <c r="J715" s="9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9"/>
      <c r="H716" s="4"/>
      <c r="I716" s="9"/>
      <c r="J716" s="9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9"/>
      <c r="H717" s="4"/>
      <c r="I717" s="9"/>
      <c r="J717" s="9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9"/>
      <c r="H718" s="4"/>
      <c r="I718" s="9"/>
      <c r="J718" s="9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9"/>
      <c r="H719" s="4"/>
      <c r="I719" s="9"/>
      <c r="J719" s="9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9"/>
      <c r="H720" s="4"/>
      <c r="I720" s="9"/>
      <c r="J720" s="9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9"/>
      <c r="H721" s="4"/>
      <c r="I721" s="9"/>
      <c r="J721" s="9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9"/>
      <c r="H722" s="4"/>
      <c r="I722" s="9"/>
      <c r="J722" s="9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9"/>
      <c r="H723" s="4"/>
      <c r="I723" s="9"/>
      <c r="J723" s="9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9"/>
      <c r="H724" s="4"/>
      <c r="I724" s="9"/>
      <c r="J724" s="9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9"/>
      <c r="H725" s="4"/>
      <c r="I725" s="9"/>
      <c r="J725" s="9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9"/>
      <c r="H726" s="4"/>
      <c r="I726" s="9"/>
      <c r="J726" s="9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9"/>
      <c r="H727" s="4"/>
      <c r="I727" s="9"/>
      <c r="J727" s="9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9"/>
      <c r="H728" s="4"/>
      <c r="I728" s="9"/>
      <c r="J728" s="9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9"/>
      <c r="H729" s="4"/>
      <c r="I729" s="9"/>
      <c r="J729" s="9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9"/>
      <c r="H730" s="4"/>
      <c r="I730" s="9"/>
      <c r="J730" s="9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9"/>
      <c r="H731" s="4"/>
      <c r="I731" s="9"/>
      <c r="J731" s="9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9"/>
      <c r="H732" s="4"/>
      <c r="I732" s="9"/>
      <c r="J732" s="9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9"/>
      <c r="H733" s="4"/>
      <c r="I733" s="9"/>
      <c r="J733" s="9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9"/>
      <c r="H734" s="4"/>
      <c r="I734" s="9"/>
      <c r="J734" s="9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9"/>
      <c r="H735" s="4"/>
      <c r="I735" s="9"/>
      <c r="J735" s="9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9"/>
      <c r="H736" s="4"/>
      <c r="I736" s="9"/>
      <c r="J736" s="9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9"/>
      <c r="H737" s="4"/>
      <c r="I737" s="9"/>
      <c r="J737" s="9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9"/>
      <c r="H738" s="4"/>
      <c r="I738" s="9"/>
      <c r="J738" s="9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9"/>
      <c r="H739" s="4"/>
      <c r="I739" s="9"/>
      <c r="J739" s="9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9"/>
      <c r="H740" s="4"/>
      <c r="I740" s="9"/>
      <c r="J740" s="9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9"/>
      <c r="H741" s="4"/>
      <c r="I741" s="9"/>
      <c r="J741" s="9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9"/>
      <c r="H742" s="4"/>
      <c r="I742" s="9"/>
      <c r="J742" s="9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9"/>
      <c r="H743" s="4"/>
      <c r="I743" s="9"/>
      <c r="J743" s="9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9"/>
      <c r="H744" s="4"/>
      <c r="I744" s="9"/>
      <c r="J744" s="9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9"/>
      <c r="H745" s="4"/>
      <c r="I745" s="9"/>
      <c r="J745" s="9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9"/>
      <c r="H746" s="4"/>
      <c r="I746" s="9"/>
      <c r="J746" s="9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9"/>
      <c r="H747" s="4"/>
      <c r="I747" s="9"/>
      <c r="J747" s="9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9"/>
      <c r="H748" s="4"/>
      <c r="I748" s="9"/>
      <c r="J748" s="9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9"/>
      <c r="H749" s="4"/>
      <c r="I749" s="9"/>
      <c r="J749" s="9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9"/>
      <c r="H750" s="4"/>
      <c r="I750" s="9"/>
      <c r="J750" s="9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9"/>
      <c r="H751" s="4"/>
      <c r="I751" s="9"/>
      <c r="J751" s="9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9"/>
      <c r="H752" s="4"/>
      <c r="I752" s="9"/>
      <c r="J752" s="9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9"/>
      <c r="H753" s="4"/>
      <c r="I753" s="9"/>
      <c r="J753" s="9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9"/>
      <c r="H754" s="4"/>
      <c r="I754" s="9"/>
      <c r="J754" s="9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9"/>
      <c r="H755" s="4"/>
      <c r="I755" s="9"/>
      <c r="J755" s="9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9"/>
      <c r="H756" s="4"/>
      <c r="I756" s="9"/>
      <c r="J756" s="9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9"/>
      <c r="H757" s="4"/>
      <c r="I757" s="9"/>
      <c r="J757" s="9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9"/>
      <c r="H758" s="4"/>
      <c r="I758" s="9"/>
      <c r="J758" s="9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9"/>
      <c r="H759" s="4"/>
      <c r="I759" s="9"/>
      <c r="J759" s="9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9"/>
      <c r="H760" s="4"/>
      <c r="I760" s="9"/>
      <c r="J760" s="9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9"/>
      <c r="H761" s="4"/>
      <c r="I761" s="9"/>
      <c r="J761" s="9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9"/>
      <c r="H762" s="4"/>
      <c r="I762" s="9"/>
      <c r="J762" s="9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9"/>
      <c r="H763" s="4"/>
      <c r="I763" s="9"/>
      <c r="J763" s="9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9"/>
      <c r="H764" s="4"/>
      <c r="I764" s="9"/>
      <c r="J764" s="9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9"/>
      <c r="H765" s="4"/>
      <c r="I765" s="9"/>
      <c r="J765" s="9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9"/>
      <c r="H766" s="4"/>
      <c r="I766" s="9"/>
      <c r="J766" s="9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9"/>
      <c r="H767" s="4"/>
      <c r="I767" s="9"/>
      <c r="J767" s="9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9"/>
      <c r="H768" s="4"/>
      <c r="I768" s="9"/>
      <c r="J768" s="9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9"/>
      <c r="H769" s="4"/>
      <c r="I769" s="9"/>
      <c r="J769" s="9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9"/>
      <c r="H770" s="4"/>
      <c r="I770" s="9"/>
      <c r="J770" s="9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9"/>
      <c r="H771" s="4"/>
      <c r="I771" s="9"/>
      <c r="J771" s="9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9"/>
      <c r="H772" s="4"/>
      <c r="I772" s="9"/>
      <c r="J772" s="9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9"/>
      <c r="H773" s="4"/>
      <c r="I773" s="9"/>
      <c r="J773" s="9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9"/>
      <c r="H774" s="4"/>
      <c r="I774" s="9"/>
      <c r="J774" s="9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9"/>
      <c r="H775" s="4"/>
      <c r="I775" s="9"/>
      <c r="J775" s="9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9"/>
      <c r="H776" s="4"/>
      <c r="I776" s="9"/>
      <c r="J776" s="9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9"/>
      <c r="H777" s="4"/>
      <c r="I777" s="9"/>
      <c r="J777" s="9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9"/>
      <c r="H778" s="4"/>
      <c r="I778" s="9"/>
      <c r="J778" s="9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9"/>
      <c r="H779" s="4"/>
      <c r="I779" s="9"/>
      <c r="J779" s="9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9"/>
      <c r="H780" s="4"/>
      <c r="I780" s="9"/>
      <c r="J780" s="9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9"/>
      <c r="H781" s="4"/>
      <c r="I781" s="9"/>
      <c r="J781" s="9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9"/>
      <c r="H782" s="4"/>
      <c r="I782" s="9"/>
      <c r="J782" s="9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9"/>
      <c r="H783" s="4"/>
      <c r="I783" s="9"/>
      <c r="J783" s="9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9"/>
      <c r="H784" s="4"/>
      <c r="I784" s="9"/>
      <c r="J784" s="9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9"/>
      <c r="H785" s="4"/>
      <c r="I785" s="9"/>
      <c r="J785" s="9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9"/>
      <c r="H786" s="4"/>
      <c r="I786" s="9"/>
      <c r="J786" s="9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9"/>
      <c r="H787" s="4"/>
      <c r="I787" s="9"/>
      <c r="J787" s="9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9"/>
      <c r="H788" s="4"/>
      <c r="I788" s="9"/>
      <c r="J788" s="9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9"/>
      <c r="H789" s="4"/>
      <c r="I789" s="9"/>
      <c r="J789" s="9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9"/>
      <c r="H790" s="4"/>
      <c r="I790" s="9"/>
      <c r="J790" s="9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9"/>
      <c r="H791" s="4"/>
      <c r="I791" s="9"/>
      <c r="J791" s="9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9"/>
      <c r="H792" s="4"/>
      <c r="I792" s="9"/>
      <c r="J792" s="9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9"/>
      <c r="H793" s="4"/>
      <c r="I793" s="9"/>
      <c r="J793" s="9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9"/>
      <c r="H794" s="4"/>
      <c r="I794" s="9"/>
      <c r="J794" s="9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9"/>
      <c r="H795" s="4"/>
      <c r="I795" s="9"/>
      <c r="J795" s="9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9"/>
      <c r="H796" s="4"/>
      <c r="I796" s="9"/>
      <c r="J796" s="9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9"/>
      <c r="H797" s="4"/>
      <c r="I797" s="9"/>
      <c r="J797" s="9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9"/>
      <c r="H798" s="4"/>
      <c r="I798" s="9"/>
      <c r="J798" s="9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9"/>
      <c r="H799" s="4"/>
      <c r="I799" s="9"/>
      <c r="J799" s="9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9"/>
      <c r="H800" s="4"/>
      <c r="I800" s="9"/>
      <c r="J800" s="9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9"/>
      <c r="H801" s="4"/>
      <c r="I801" s="9"/>
      <c r="J801" s="9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9"/>
      <c r="H802" s="4"/>
      <c r="I802" s="9"/>
      <c r="J802" s="9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9"/>
      <c r="H803" s="4"/>
      <c r="I803" s="9"/>
      <c r="J803" s="9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9"/>
      <c r="H804" s="4"/>
      <c r="I804" s="9"/>
      <c r="J804" s="9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9"/>
      <c r="H805" s="4"/>
      <c r="I805" s="9"/>
      <c r="J805" s="9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9"/>
      <c r="H806" s="4"/>
      <c r="I806" s="9"/>
      <c r="J806" s="9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9"/>
      <c r="H807" s="4"/>
      <c r="I807" s="9"/>
      <c r="J807" s="9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9"/>
      <c r="H808" s="4"/>
      <c r="I808" s="9"/>
      <c r="J808" s="9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9"/>
      <c r="H809" s="4"/>
      <c r="I809" s="9"/>
      <c r="J809" s="9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9"/>
      <c r="H810" s="4"/>
      <c r="I810" s="9"/>
      <c r="J810" s="9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9"/>
      <c r="H811" s="4"/>
      <c r="I811" s="9"/>
      <c r="J811" s="9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9"/>
      <c r="H812" s="4"/>
      <c r="I812" s="9"/>
      <c r="J812" s="9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9"/>
      <c r="H813" s="4"/>
      <c r="I813" s="9"/>
      <c r="J813" s="9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9"/>
      <c r="H814" s="4"/>
      <c r="I814" s="9"/>
      <c r="J814" s="9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9"/>
      <c r="H815" s="4"/>
      <c r="I815" s="9"/>
      <c r="J815" s="9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9"/>
      <c r="H816" s="4"/>
      <c r="I816" s="9"/>
      <c r="J816" s="9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9"/>
      <c r="H817" s="4"/>
      <c r="I817" s="9"/>
      <c r="J817" s="9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9"/>
      <c r="H818" s="4"/>
      <c r="I818" s="9"/>
      <c r="J818" s="9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9"/>
      <c r="H819" s="4"/>
      <c r="I819" s="9"/>
      <c r="J819" s="9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9"/>
      <c r="H820" s="4"/>
      <c r="I820" s="9"/>
      <c r="J820" s="9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9"/>
      <c r="H821" s="4"/>
      <c r="I821" s="9"/>
      <c r="J821" s="9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9"/>
      <c r="H822" s="4"/>
      <c r="I822" s="9"/>
      <c r="J822" s="9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9"/>
      <c r="H823" s="4"/>
      <c r="I823" s="9"/>
      <c r="J823" s="9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9"/>
      <c r="H824" s="4"/>
      <c r="I824" s="9"/>
      <c r="J824" s="9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9"/>
      <c r="H825" s="4"/>
      <c r="I825" s="9"/>
      <c r="J825" s="9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9"/>
      <c r="H826" s="4"/>
      <c r="I826" s="9"/>
      <c r="J826" s="9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9"/>
      <c r="H827" s="4"/>
      <c r="I827" s="9"/>
      <c r="J827" s="9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9"/>
      <c r="H828" s="4"/>
      <c r="I828" s="9"/>
      <c r="J828" s="9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9"/>
      <c r="H829" s="4"/>
      <c r="I829" s="9"/>
      <c r="J829" s="9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9"/>
      <c r="H830" s="4"/>
      <c r="I830" s="9"/>
      <c r="J830" s="9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9"/>
      <c r="H831" s="4"/>
      <c r="I831" s="9"/>
      <c r="J831" s="9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9"/>
      <c r="H832" s="4"/>
      <c r="I832" s="9"/>
      <c r="J832" s="9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9"/>
      <c r="H833" s="4"/>
      <c r="I833" s="9"/>
      <c r="J833" s="9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9"/>
      <c r="H834" s="4"/>
      <c r="I834" s="9"/>
      <c r="J834" s="9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9"/>
      <c r="H835" s="4"/>
      <c r="I835" s="9"/>
      <c r="J835" s="9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9"/>
      <c r="H836" s="4"/>
      <c r="I836" s="9"/>
      <c r="J836" s="9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9"/>
      <c r="H837" s="4"/>
      <c r="I837" s="9"/>
      <c r="J837" s="9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9"/>
      <c r="H838" s="4"/>
      <c r="I838" s="9"/>
      <c r="J838" s="9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9"/>
      <c r="H839" s="4"/>
      <c r="I839" s="9"/>
      <c r="J839" s="9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9"/>
      <c r="H840" s="4"/>
      <c r="I840" s="9"/>
      <c r="J840" s="9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9"/>
      <c r="H841" s="4"/>
      <c r="I841" s="9"/>
      <c r="J841" s="9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9"/>
      <c r="H842" s="4"/>
      <c r="I842" s="9"/>
      <c r="J842" s="9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9"/>
      <c r="H843" s="4"/>
      <c r="I843" s="9"/>
      <c r="J843" s="9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9"/>
      <c r="H844" s="4"/>
      <c r="I844" s="9"/>
      <c r="J844" s="9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9"/>
      <c r="H845" s="4"/>
      <c r="I845" s="9"/>
      <c r="J845" s="9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9"/>
      <c r="H846" s="4"/>
      <c r="I846" s="9"/>
      <c r="J846" s="9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9"/>
      <c r="H847" s="4"/>
      <c r="I847" s="9"/>
      <c r="J847" s="9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9"/>
      <c r="H848" s="4"/>
      <c r="I848" s="9"/>
      <c r="J848" s="9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9"/>
      <c r="H849" s="4"/>
      <c r="I849" s="9"/>
      <c r="J849" s="9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9"/>
      <c r="H850" s="4"/>
      <c r="I850" s="9"/>
      <c r="J850" s="9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9"/>
      <c r="H851" s="4"/>
      <c r="I851" s="9"/>
      <c r="J851" s="9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9"/>
      <c r="H852" s="4"/>
      <c r="I852" s="9"/>
      <c r="J852" s="9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9"/>
      <c r="H853" s="4"/>
      <c r="I853" s="9"/>
      <c r="J853" s="9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9"/>
      <c r="H854" s="4"/>
      <c r="I854" s="9"/>
      <c r="J854" s="9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9"/>
      <c r="H855" s="4"/>
      <c r="I855" s="9"/>
      <c r="J855" s="9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9"/>
      <c r="H856" s="4"/>
      <c r="I856" s="9"/>
      <c r="J856" s="9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9"/>
      <c r="H857" s="4"/>
      <c r="I857" s="9"/>
      <c r="J857" s="9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9"/>
      <c r="H858" s="4"/>
      <c r="I858" s="9"/>
      <c r="J858" s="9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9"/>
      <c r="H859" s="4"/>
      <c r="I859" s="9"/>
      <c r="J859" s="9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9"/>
      <c r="H860" s="4"/>
      <c r="I860" s="9"/>
      <c r="J860" s="9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9"/>
      <c r="H861" s="4"/>
      <c r="I861" s="9"/>
      <c r="J861" s="9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9"/>
      <c r="H862" s="4"/>
      <c r="I862" s="9"/>
      <c r="J862" s="9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9"/>
      <c r="H863" s="4"/>
      <c r="I863" s="9"/>
      <c r="J863" s="9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9"/>
      <c r="H864" s="4"/>
      <c r="I864" s="9"/>
      <c r="J864" s="9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9"/>
      <c r="H865" s="4"/>
      <c r="I865" s="9"/>
      <c r="J865" s="9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9"/>
      <c r="H866" s="4"/>
      <c r="I866" s="9"/>
      <c r="J866" s="9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9"/>
      <c r="H867" s="4"/>
      <c r="I867" s="9"/>
      <c r="J867" s="9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9"/>
      <c r="H868" s="4"/>
      <c r="I868" s="9"/>
      <c r="J868" s="9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9"/>
      <c r="H869" s="4"/>
      <c r="I869" s="9"/>
      <c r="J869" s="9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9"/>
      <c r="H870" s="4"/>
      <c r="I870" s="9"/>
      <c r="J870" s="9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9"/>
      <c r="H871" s="4"/>
      <c r="I871" s="9"/>
      <c r="J871" s="9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9"/>
      <c r="H872" s="4"/>
      <c r="I872" s="9"/>
      <c r="J872" s="9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9"/>
      <c r="H873" s="4"/>
      <c r="I873" s="9"/>
      <c r="J873" s="9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9"/>
      <c r="H874" s="4"/>
      <c r="I874" s="9"/>
      <c r="J874" s="9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9"/>
      <c r="H875" s="4"/>
      <c r="I875" s="9"/>
      <c r="J875" s="9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9"/>
      <c r="H876" s="4"/>
      <c r="I876" s="9"/>
      <c r="J876" s="9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9"/>
      <c r="H877" s="4"/>
      <c r="I877" s="9"/>
      <c r="J877" s="9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9"/>
      <c r="H878" s="4"/>
      <c r="I878" s="9"/>
      <c r="J878" s="9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9"/>
      <c r="H879" s="4"/>
      <c r="I879" s="9"/>
      <c r="J879" s="9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9"/>
      <c r="H880" s="4"/>
      <c r="I880" s="9"/>
      <c r="J880" s="9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9"/>
      <c r="H881" s="4"/>
      <c r="I881" s="9"/>
      <c r="J881" s="9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9"/>
      <c r="H882" s="4"/>
      <c r="I882" s="9"/>
      <c r="J882" s="9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9"/>
      <c r="H883" s="4"/>
      <c r="I883" s="9"/>
      <c r="J883" s="9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9"/>
      <c r="H884" s="4"/>
      <c r="I884" s="9"/>
      <c r="J884" s="9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9"/>
      <c r="H885" s="4"/>
      <c r="I885" s="9"/>
      <c r="J885" s="9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9"/>
      <c r="H886" s="4"/>
      <c r="I886" s="9"/>
      <c r="J886" s="9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9"/>
      <c r="H887" s="4"/>
      <c r="I887" s="9"/>
      <c r="J887" s="9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9"/>
      <c r="H888" s="4"/>
      <c r="I888" s="9"/>
      <c r="J888" s="9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9"/>
      <c r="H889" s="4"/>
      <c r="I889" s="9"/>
      <c r="J889" s="9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9"/>
      <c r="H890" s="4"/>
      <c r="I890" s="9"/>
      <c r="J890" s="9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9"/>
      <c r="H891" s="4"/>
      <c r="I891" s="9"/>
      <c r="J891" s="9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9"/>
      <c r="H892" s="4"/>
      <c r="I892" s="9"/>
      <c r="J892" s="9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9"/>
      <c r="H893" s="4"/>
      <c r="I893" s="9"/>
      <c r="J893" s="9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9"/>
      <c r="H894" s="4"/>
      <c r="I894" s="9"/>
      <c r="J894" s="9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9"/>
      <c r="H895" s="4"/>
      <c r="I895" s="9"/>
      <c r="J895" s="9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9"/>
      <c r="H896" s="4"/>
      <c r="I896" s="9"/>
      <c r="J896" s="9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9"/>
      <c r="H897" s="4"/>
      <c r="I897" s="9"/>
      <c r="J897" s="9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9"/>
      <c r="H898" s="4"/>
      <c r="I898" s="9"/>
      <c r="J898" s="9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9"/>
      <c r="H899" s="4"/>
      <c r="I899" s="9"/>
      <c r="J899" s="9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9"/>
      <c r="H900" s="4"/>
      <c r="I900" s="9"/>
      <c r="J900" s="9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9"/>
      <c r="H901" s="4"/>
      <c r="I901" s="9"/>
      <c r="J901" s="9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9"/>
      <c r="H902" s="4"/>
      <c r="I902" s="9"/>
      <c r="J902" s="9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9"/>
      <c r="H903" s="4"/>
      <c r="I903" s="9"/>
      <c r="J903" s="9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9"/>
      <c r="H904" s="4"/>
      <c r="I904" s="9"/>
      <c r="J904" s="9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9"/>
      <c r="H905" s="4"/>
      <c r="I905" s="9"/>
      <c r="J905" s="9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9"/>
      <c r="H906" s="4"/>
      <c r="I906" s="9"/>
      <c r="J906" s="9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9"/>
      <c r="H907" s="4"/>
      <c r="I907" s="9"/>
      <c r="J907" s="9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9"/>
      <c r="H908" s="4"/>
      <c r="I908" s="9"/>
      <c r="J908" s="9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9"/>
      <c r="H909" s="4"/>
      <c r="I909" s="9"/>
      <c r="J909" s="9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9"/>
      <c r="H910" s="4"/>
      <c r="I910" s="9"/>
      <c r="J910" s="9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9"/>
      <c r="H911" s="4"/>
      <c r="I911" s="9"/>
      <c r="J911" s="9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9"/>
      <c r="H912" s="4"/>
      <c r="I912" s="9"/>
      <c r="J912" s="9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9"/>
      <c r="H913" s="4"/>
      <c r="I913" s="9"/>
      <c r="J913" s="9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9"/>
      <c r="H914" s="4"/>
      <c r="I914" s="9"/>
      <c r="J914" s="9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9"/>
      <c r="H915" s="4"/>
      <c r="I915" s="9"/>
      <c r="J915" s="9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9"/>
      <c r="H916" s="4"/>
      <c r="I916" s="9"/>
      <c r="J916" s="9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9"/>
      <c r="H917" s="4"/>
      <c r="I917" s="9"/>
      <c r="J917" s="9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9"/>
      <c r="H918" s="4"/>
      <c r="I918" s="9"/>
      <c r="J918" s="9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9"/>
      <c r="H919" s="4"/>
      <c r="I919" s="9"/>
      <c r="J919" s="9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9"/>
      <c r="H920" s="4"/>
      <c r="I920" s="9"/>
      <c r="J920" s="9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9"/>
      <c r="H921" s="4"/>
      <c r="I921" s="9"/>
      <c r="J921" s="9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9"/>
      <c r="H922" s="4"/>
      <c r="I922" s="9"/>
      <c r="J922" s="9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9"/>
      <c r="H923" s="4"/>
      <c r="I923" s="9"/>
      <c r="J923" s="9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9"/>
      <c r="H924" s="4"/>
      <c r="I924" s="9"/>
      <c r="J924" s="9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9"/>
      <c r="H925" s="4"/>
      <c r="I925" s="9"/>
      <c r="J925" s="9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9"/>
      <c r="H926" s="4"/>
      <c r="I926" s="9"/>
      <c r="J926" s="9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9"/>
      <c r="H927" s="4"/>
      <c r="I927" s="9"/>
      <c r="J927" s="9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9"/>
      <c r="H928" s="4"/>
      <c r="I928" s="9"/>
      <c r="J928" s="9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9"/>
      <c r="H929" s="4"/>
      <c r="I929" s="9"/>
      <c r="J929" s="9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9"/>
      <c r="H930" s="4"/>
      <c r="I930" s="9"/>
      <c r="J930" s="9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9"/>
      <c r="H931" s="4"/>
      <c r="I931" s="9"/>
      <c r="J931" s="9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9"/>
      <c r="H932" s="4"/>
      <c r="I932" s="9"/>
      <c r="J932" s="9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9"/>
      <c r="H933" s="4"/>
      <c r="I933" s="9"/>
      <c r="J933" s="9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9"/>
      <c r="H934" s="4"/>
      <c r="I934" s="9"/>
      <c r="J934" s="9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9"/>
      <c r="H935" s="4"/>
      <c r="I935" s="9"/>
      <c r="J935" s="9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9"/>
      <c r="H936" s="4"/>
      <c r="I936" s="9"/>
      <c r="J936" s="9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9"/>
      <c r="H937" s="4"/>
      <c r="I937" s="9"/>
      <c r="J937" s="9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9"/>
      <c r="H938" s="4"/>
      <c r="I938" s="9"/>
      <c r="J938" s="9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9"/>
      <c r="H939" s="4"/>
      <c r="I939" s="9"/>
      <c r="J939" s="9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9"/>
      <c r="H940" s="4"/>
      <c r="I940" s="9"/>
      <c r="J940" s="9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9"/>
      <c r="H941" s="4"/>
      <c r="I941" s="9"/>
      <c r="J941" s="9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9"/>
      <c r="H942" s="4"/>
      <c r="I942" s="9"/>
      <c r="J942" s="9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9"/>
      <c r="H943" s="4"/>
      <c r="I943" s="9"/>
      <c r="J943" s="9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9"/>
      <c r="H944" s="4"/>
      <c r="I944" s="9"/>
      <c r="J944" s="9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9"/>
      <c r="H945" s="4"/>
      <c r="I945" s="9"/>
      <c r="J945" s="9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9"/>
      <c r="H946" s="4"/>
      <c r="I946" s="9"/>
      <c r="J946" s="9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9"/>
      <c r="H947" s="4"/>
      <c r="I947" s="9"/>
      <c r="J947" s="9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9"/>
      <c r="H948" s="4"/>
      <c r="I948" s="9"/>
      <c r="J948" s="9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9"/>
      <c r="H949" s="4"/>
      <c r="I949" s="9"/>
      <c r="J949" s="9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9"/>
      <c r="H950" s="4"/>
      <c r="I950" s="9"/>
      <c r="J950" s="9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9"/>
      <c r="H951" s="4"/>
      <c r="I951" s="9"/>
      <c r="J951" s="9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9"/>
      <c r="H952" s="4"/>
      <c r="I952" s="9"/>
      <c r="J952" s="9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9"/>
      <c r="H953" s="4"/>
      <c r="I953" s="9"/>
      <c r="J953" s="9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9"/>
      <c r="H954" s="4"/>
      <c r="I954" s="9"/>
      <c r="J954" s="9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9"/>
      <c r="H955" s="4"/>
      <c r="I955" s="9"/>
      <c r="J955" s="9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9"/>
      <c r="H956" s="4"/>
      <c r="I956" s="9"/>
      <c r="J956" s="9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9"/>
      <c r="H957" s="4"/>
      <c r="I957" s="9"/>
      <c r="J957" s="9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9"/>
      <c r="H958" s="4"/>
      <c r="I958" s="9"/>
      <c r="J958" s="9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9"/>
      <c r="H959" s="4"/>
      <c r="I959" s="9"/>
      <c r="J959" s="9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9"/>
      <c r="H960" s="4"/>
      <c r="I960" s="9"/>
      <c r="J960" s="9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9"/>
      <c r="H961" s="4"/>
      <c r="I961" s="9"/>
      <c r="J961" s="9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9"/>
      <c r="H962" s="4"/>
      <c r="I962" s="9"/>
      <c r="J962" s="9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9"/>
      <c r="H963" s="4"/>
      <c r="I963" s="9"/>
      <c r="J963" s="9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9"/>
      <c r="H964" s="4"/>
      <c r="I964" s="9"/>
      <c r="J964" s="9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9"/>
      <c r="H965" s="4"/>
      <c r="I965" s="9"/>
      <c r="J965" s="9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9"/>
      <c r="H966" s="4"/>
      <c r="I966" s="9"/>
      <c r="J966" s="9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9"/>
      <c r="H967" s="4"/>
      <c r="I967" s="9"/>
      <c r="J967" s="9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9"/>
      <c r="H968" s="4"/>
      <c r="I968" s="9"/>
      <c r="J968" s="9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9"/>
      <c r="H969" s="4"/>
      <c r="I969" s="9"/>
      <c r="J969" s="9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9"/>
      <c r="H970" s="4"/>
      <c r="I970" s="9"/>
      <c r="J970" s="9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9"/>
      <c r="H971" s="4"/>
      <c r="I971" s="9"/>
      <c r="J971" s="9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9"/>
      <c r="H972" s="4"/>
      <c r="I972" s="9"/>
      <c r="J972" s="9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9"/>
      <c r="H973" s="4"/>
      <c r="I973" s="9"/>
      <c r="J973" s="9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9"/>
      <c r="H974" s="4"/>
      <c r="I974" s="9"/>
      <c r="J974" s="9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9"/>
      <c r="H975" s="4"/>
      <c r="I975" s="9"/>
      <c r="J975" s="9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9"/>
      <c r="H976" s="4"/>
      <c r="I976" s="9"/>
      <c r="J976" s="9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9"/>
      <c r="H977" s="4"/>
      <c r="I977" s="9"/>
      <c r="J977" s="9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9"/>
      <c r="H978" s="4"/>
      <c r="I978" s="9"/>
      <c r="J978" s="9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9"/>
      <c r="H979" s="4"/>
      <c r="I979" s="9"/>
      <c r="J979" s="9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9"/>
      <c r="H980" s="4"/>
      <c r="I980" s="9"/>
      <c r="J980" s="9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9"/>
      <c r="H981" s="4"/>
      <c r="I981" s="9"/>
      <c r="J981" s="9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9"/>
      <c r="H982" s="4"/>
      <c r="I982" s="9"/>
      <c r="J982" s="9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9"/>
      <c r="H983" s="4"/>
      <c r="I983" s="9"/>
      <c r="J983" s="9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9"/>
      <c r="H984" s="4"/>
      <c r="I984" s="9"/>
      <c r="J984" s="9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9"/>
      <c r="H985" s="4"/>
      <c r="I985" s="9"/>
      <c r="J985" s="9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9"/>
      <c r="H986" s="4"/>
      <c r="I986" s="9"/>
      <c r="J986" s="9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9"/>
      <c r="H987" s="4"/>
      <c r="I987" s="9"/>
      <c r="J987" s="9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9"/>
      <c r="H988" s="4"/>
      <c r="I988" s="9"/>
      <c r="J988" s="9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9"/>
      <c r="H989" s="4"/>
      <c r="I989" s="9"/>
      <c r="J989" s="9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9"/>
      <c r="H990" s="4"/>
      <c r="I990" s="9"/>
      <c r="J990" s="9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9"/>
      <c r="H991" s="4"/>
      <c r="I991" s="9"/>
      <c r="J991" s="9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9"/>
      <c r="H992" s="4"/>
      <c r="I992" s="9"/>
      <c r="J992" s="9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9"/>
      <c r="H993" s="4"/>
      <c r="I993" s="9"/>
      <c r="J993" s="9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9"/>
      <c r="H994" s="4"/>
      <c r="I994" s="9"/>
      <c r="J994" s="9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9"/>
      <c r="H995" s="4"/>
      <c r="I995" s="9"/>
      <c r="J995" s="9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9"/>
      <c r="H996" s="4"/>
      <c r="I996" s="9"/>
      <c r="J996" s="9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mergeCells count="1">
    <mergeCell ref="A1:Y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3" max="3" width="11.5"/>
  </cols>
  <sheetData>
    <row r="1">
      <c r="A1" s="1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4"/>
    </row>
    <row r="2">
      <c r="A2" s="5"/>
      <c r="B2" s="40">
        <v>105.0</v>
      </c>
      <c r="C2" s="40">
        <v>106.0</v>
      </c>
      <c r="D2" s="40">
        <v>107.0</v>
      </c>
      <c r="E2" s="40">
        <v>201.0</v>
      </c>
      <c r="F2" s="40">
        <v>202.0</v>
      </c>
      <c r="G2" s="40">
        <v>203.0</v>
      </c>
      <c r="H2" s="40">
        <v>204.0</v>
      </c>
      <c r="I2" s="40">
        <v>205.0</v>
      </c>
      <c r="J2" s="40">
        <v>206.0</v>
      </c>
      <c r="K2" s="40">
        <v>207.0</v>
      </c>
      <c r="L2" s="40">
        <v>301.0</v>
      </c>
      <c r="M2" s="40">
        <v>302.0</v>
      </c>
      <c r="N2" s="40">
        <v>303.0</v>
      </c>
      <c r="O2" s="40">
        <v>304.0</v>
      </c>
      <c r="P2" s="40">
        <v>305.0</v>
      </c>
      <c r="Q2" s="40">
        <v>306.0</v>
      </c>
      <c r="R2" s="40">
        <v>307.0</v>
      </c>
      <c r="S2" s="40">
        <v>401.0</v>
      </c>
      <c r="T2" s="40">
        <v>402.0</v>
      </c>
      <c r="U2" s="40">
        <v>403.0</v>
      </c>
      <c r="V2" s="40">
        <v>404.0</v>
      </c>
      <c r="W2" s="40">
        <v>405.0</v>
      </c>
      <c r="X2" s="40">
        <v>406.0</v>
      </c>
      <c r="Y2" s="40">
        <v>407.0</v>
      </c>
      <c r="Z2" s="7"/>
    </row>
    <row r="3">
      <c r="A3" s="41">
        <v>46023.0</v>
      </c>
      <c r="B3" s="9"/>
      <c r="C3" s="9"/>
      <c r="D3" s="9"/>
      <c r="E3" s="9"/>
      <c r="F3" s="10">
        <v>375460.0</v>
      </c>
      <c r="G3" s="9"/>
      <c r="H3" s="10">
        <v>141820.0</v>
      </c>
      <c r="I3" s="9"/>
      <c r="J3" s="9"/>
      <c r="K3" s="9"/>
      <c r="L3" s="9"/>
      <c r="M3" s="9"/>
      <c r="N3" s="9"/>
      <c r="O3" s="9"/>
      <c r="P3" s="10">
        <v>139940.0</v>
      </c>
      <c r="Q3" s="9"/>
      <c r="R3" s="10">
        <v>129800.0</v>
      </c>
      <c r="S3" s="43"/>
      <c r="T3" s="9"/>
      <c r="U3" s="9"/>
      <c r="V3" s="10">
        <v>125153.0</v>
      </c>
      <c r="W3" s="9"/>
      <c r="X3" s="43"/>
      <c r="Y3" s="10">
        <v>129320.0</v>
      </c>
      <c r="Z3" s="9"/>
    </row>
    <row r="4">
      <c r="A4" s="41">
        <v>46024.0</v>
      </c>
      <c r="B4" s="9"/>
      <c r="C4" s="9"/>
      <c r="D4" s="9"/>
      <c r="E4" s="9"/>
      <c r="F4" s="10"/>
      <c r="G4" s="9"/>
      <c r="H4" s="9"/>
      <c r="I4" s="9"/>
      <c r="J4" s="9"/>
      <c r="K4" s="9"/>
      <c r="L4" s="43"/>
      <c r="M4" s="9"/>
      <c r="N4" s="9"/>
      <c r="O4" s="9"/>
      <c r="P4" s="10">
        <v>152440.0</v>
      </c>
      <c r="Q4" s="43"/>
      <c r="R4" s="9"/>
      <c r="S4" s="10">
        <v>258640.0</v>
      </c>
      <c r="T4" s="43"/>
      <c r="U4" s="17">
        <v>497400.0</v>
      </c>
      <c r="W4" s="9"/>
      <c r="X4" s="9"/>
      <c r="Y4" s="9"/>
      <c r="Z4" s="9"/>
    </row>
    <row r="5">
      <c r="A5" s="41">
        <v>46025.0</v>
      </c>
      <c r="B5" s="9"/>
      <c r="C5" s="9"/>
      <c r="D5" s="9"/>
      <c r="E5" s="43"/>
      <c r="F5" s="10"/>
      <c r="G5" s="66">
        <v>145000.0</v>
      </c>
      <c r="H5" s="9"/>
      <c r="I5" s="9"/>
      <c r="J5" s="9"/>
      <c r="K5" s="9"/>
      <c r="L5" s="9"/>
      <c r="M5" s="43"/>
      <c r="N5" s="9"/>
      <c r="O5" s="9"/>
      <c r="P5" s="9"/>
      <c r="Q5" s="9"/>
      <c r="R5" s="9"/>
      <c r="S5" s="10"/>
      <c r="T5" s="9"/>
      <c r="U5" s="67"/>
      <c r="W5" s="43"/>
      <c r="X5" s="9"/>
      <c r="Y5" s="9"/>
      <c r="Z5" s="9"/>
    </row>
    <row r="6">
      <c r="A6" s="41">
        <v>46026.0</v>
      </c>
      <c r="B6" s="9"/>
      <c r="C6" s="9"/>
      <c r="D6" s="9"/>
      <c r="E6" s="9"/>
      <c r="F6" s="9"/>
      <c r="G6" s="9"/>
      <c r="H6" s="9"/>
      <c r="I6" s="9"/>
      <c r="J6" s="43"/>
      <c r="K6" s="9"/>
      <c r="L6" s="44"/>
      <c r="M6" s="9"/>
      <c r="N6" s="43"/>
      <c r="O6" s="66">
        <v>405300.0</v>
      </c>
      <c r="P6" s="9"/>
      <c r="Q6" s="9"/>
      <c r="R6" s="9"/>
      <c r="S6" s="9"/>
      <c r="T6" s="9"/>
      <c r="U6" s="67"/>
      <c r="V6" s="66">
        <v>173500.0</v>
      </c>
      <c r="W6" s="43"/>
      <c r="X6" s="9"/>
      <c r="Y6" s="9"/>
      <c r="Z6" s="9"/>
    </row>
    <row r="7">
      <c r="A7" s="41">
        <v>46027.0</v>
      </c>
      <c r="B7" s="9"/>
      <c r="C7" s="9"/>
      <c r="D7" s="9"/>
      <c r="E7" s="9"/>
      <c r="F7" s="9"/>
      <c r="G7" s="10">
        <v>258640.0</v>
      </c>
      <c r="H7" s="9"/>
      <c r="I7" s="46">
        <v>793618.0</v>
      </c>
      <c r="J7" s="9"/>
      <c r="K7" s="9"/>
      <c r="L7" s="9"/>
      <c r="M7" s="9"/>
      <c r="N7" s="9"/>
      <c r="O7" s="66"/>
      <c r="P7" s="9"/>
      <c r="Q7" s="9"/>
      <c r="R7" s="9"/>
      <c r="S7" s="10">
        <v>152440.0</v>
      </c>
      <c r="T7" s="9"/>
      <c r="U7" s="9"/>
      <c r="V7" s="10">
        <v>375460.0</v>
      </c>
      <c r="W7" s="43"/>
      <c r="X7" s="9"/>
      <c r="Y7" s="9"/>
      <c r="Z7" s="9"/>
    </row>
    <row r="8">
      <c r="A8" s="41">
        <v>46028.0</v>
      </c>
      <c r="B8" s="9"/>
      <c r="C8" s="9"/>
      <c r="D8" s="9"/>
      <c r="E8" s="9"/>
      <c r="F8" s="9"/>
      <c r="G8" s="10"/>
      <c r="H8" s="43"/>
      <c r="I8" s="46"/>
      <c r="J8" s="9"/>
      <c r="K8" s="43"/>
      <c r="L8" s="9"/>
      <c r="M8" s="9"/>
      <c r="N8" s="43"/>
      <c r="O8" s="66"/>
      <c r="P8" s="10">
        <v>152440.0</v>
      </c>
      <c r="Q8" s="9"/>
      <c r="R8" s="43"/>
      <c r="S8" s="10">
        <v>407320.0</v>
      </c>
      <c r="T8" s="9"/>
      <c r="U8" s="46">
        <v>150000.0</v>
      </c>
      <c r="V8" s="10"/>
      <c r="W8" s="9"/>
      <c r="X8" s="9"/>
      <c r="Y8" s="9"/>
      <c r="Z8" s="9"/>
    </row>
    <row r="9">
      <c r="A9" s="41">
        <v>46029.0</v>
      </c>
      <c r="B9" s="43"/>
      <c r="C9" s="43"/>
      <c r="D9" s="9"/>
      <c r="E9" s="9"/>
      <c r="F9" s="9"/>
      <c r="G9" s="43"/>
      <c r="H9" s="44"/>
      <c r="I9" s="46"/>
      <c r="J9" s="9"/>
      <c r="K9" s="9"/>
      <c r="L9" s="66">
        <v>168752.0</v>
      </c>
      <c r="M9" s="10">
        <v>279880.0</v>
      </c>
      <c r="N9" s="66">
        <v>160000.0</v>
      </c>
      <c r="O9" s="43"/>
      <c r="P9" s="9"/>
      <c r="Q9" s="9"/>
      <c r="R9" s="9"/>
      <c r="S9" s="10"/>
      <c r="T9" s="9"/>
      <c r="U9" s="9"/>
      <c r="V9" s="10"/>
      <c r="W9" s="10">
        <v>407320.0</v>
      </c>
      <c r="X9" s="43"/>
      <c r="Y9" s="43"/>
      <c r="Z9" s="9"/>
    </row>
    <row r="10">
      <c r="A10" s="41">
        <v>46030.0</v>
      </c>
      <c r="B10" s="9"/>
      <c r="C10" s="9"/>
      <c r="D10" s="43"/>
      <c r="E10" s="43"/>
      <c r="F10" s="43"/>
      <c r="G10" s="10">
        <v>141820.0</v>
      </c>
      <c r="H10" s="43"/>
      <c r="I10" s="46"/>
      <c r="J10" s="9"/>
      <c r="K10" s="45"/>
      <c r="L10" s="43"/>
      <c r="M10" s="10"/>
      <c r="N10" s="43"/>
      <c r="O10" s="43"/>
      <c r="P10" s="9"/>
      <c r="Q10" s="43"/>
      <c r="R10" s="43"/>
      <c r="S10" s="10"/>
      <c r="T10" s="46">
        <v>183217.0</v>
      </c>
      <c r="U10" s="43"/>
      <c r="V10" s="9"/>
      <c r="W10" s="10"/>
      <c r="X10" s="9"/>
      <c r="Y10" s="9"/>
      <c r="Z10" s="9"/>
    </row>
    <row r="11">
      <c r="A11" s="41">
        <v>46031.0</v>
      </c>
      <c r="B11" s="43"/>
      <c r="C11" s="44"/>
      <c r="D11" s="9"/>
      <c r="E11" s="9"/>
      <c r="F11" s="43"/>
      <c r="G11" s="10">
        <v>700398.0</v>
      </c>
      <c r="H11" s="9"/>
      <c r="I11" s="46"/>
      <c r="J11" s="43"/>
      <c r="K11" s="43"/>
      <c r="L11" s="9"/>
      <c r="M11" s="43"/>
      <c r="N11" s="10">
        <v>141820.0</v>
      </c>
      <c r="O11" s="43"/>
      <c r="P11" s="9"/>
      <c r="Q11" s="43"/>
      <c r="R11" s="43"/>
      <c r="S11" s="9"/>
      <c r="T11" s="43"/>
      <c r="U11" s="43"/>
      <c r="V11" s="9"/>
      <c r="W11" s="10"/>
      <c r="X11" s="9"/>
      <c r="Y11" s="43"/>
      <c r="Z11" s="9"/>
    </row>
    <row r="12">
      <c r="A12" s="41">
        <v>46032.0</v>
      </c>
      <c r="B12" s="43"/>
      <c r="C12" s="9"/>
      <c r="D12" s="9"/>
      <c r="E12" s="9"/>
      <c r="F12" s="9"/>
      <c r="G12" s="10"/>
      <c r="H12" s="9"/>
      <c r="I12" s="46"/>
      <c r="J12" s="9"/>
      <c r="K12" s="9"/>
      <c r="L12" s="43"/>
      <c r="M12" s="9"/>
      <c r="N12" s="9"/>
      <c r="O12" s="43"/>
      <c r="P12" s="9"/>
      <c r="Q12" s="9"/>
      <c r="R12" s="9"/>
      <c r="S12" s="10">
        <v>152440.0</v>
      </c>
      <c r="T12" s="9"/>
      <c r="U12" s="9"/>
      <c r="V12" s="10">
        <v>141820.0</v>
      </c>
      <c r="W12" s="43"/>
      <c r="X12" s="43"/>
      <c r="Y12" s="43"/>
      <c r="Z12" s="9"/>
    </row>
    <row r="13">
      <c r="A13" s="41">
        <v>46033.0</v>
      </c>
      <c r="B13" s="10">
        <v>251560.0</v>
      </c>
      <c r="C13" s="9"/>
      <c r="D13" s="43"/>
      <c r="E13" s="9"/>
      <c r="F13" s="9"/>
      <c r="G13" s="10"/>
      <c r="H13" s="17">
        <v>412876.0</v>
      </c>
      <c r="I13" s="46"/>
      <c r="J13" s="9"/>
      <c r="K13" s="9"/>
      <c r="L13" s="9"/>
      <c r="M13" s="9"/>
      <c r="N13" s="43"/>
      <c r="O13" s="43"/>
      <c r="P13" s="10">
        <v>279880.0</v>
      </c>
      <c r="Q13" s="9"/>
      <c r="R13" s="10">
        <v>350460.0</v>
      </c>
      <c r="S13" s="10">
        <v>437549.0</v>
      </c>
      <c r="T13" s="10">
        <v>534760.0</v>
      </c>
      <c r="U13" s="10">
        <v>530329.0</v>
      </c>
      <c r="V13" s="10">
        <v>141820.0</v>
      </c>
      <c r="W13" s="9"/>
      <c r="X13" s="9"/>
      <c r="Y13" s="10">
        <v>258640.0</v>
      </c>
      <c r="Z13" s="9"/>
    </row>
    <row r="14">
      <c r="A14" s="41">
        <v>46034.0</v>
      </c>
      <c r="B14" s="10"/>
      <c r="C14" s="9"/>
      <c r="D14" s="43"/>
      <c r="E14" s="10">
        <v>152440.0</v>
      </c>
      <c r="F14" s="10">
        <v>152440.0</v>
      </c>
      <c r="G14" s="10"/>
      <c r="H14" s="17"/>
      <c r="I14" s="10">
        <v>527320.0</v>
      </c>
      <c r="J14" s="66">
        <v>450000.0</v>
      </c>
      <c r="K14" s="9"/>
      <c r="L14" s="46">
        <v>618116.0</v>
      </c>
      <c r="M14" s="9"/>
      <c r="N14" s="43"/>
      <c r="O14" s="10">
        <v>258640.0</v>
      </c>
      <c r="P14" s="10"/>
      <c r="Q14" s="9"/>
      <c r="R14" s="10"/>
      <c r="S14" s="10"/>
      <c r="T14" s="10"/>
      <c r="U14" s="10"/>
      <c r="V14" s="10">
        <v>271695.0</v>
      </c>
      <c r="W14" s="9"/>
      <c r="X14" s="10">
        <v>407320.0</v>
      </c>
      <c r="Y14" s="10"/>
      <c r="Z14" s="9"/>
    </row>
    <row r="15">
      <c r="A15" s="41">
        <v>46035.0</v>
      </c>
      <c r="B15" s="10">
        <v>279880.0</v>
      </c>
      <c r="C15" s="10">
        <v>944716.0</v>
      </c>
      <c r="D15" s="9"/>
      <c r="E15" s="10">
        <v>359880.0</v>
      </c>
      <c r="F15" s="9"/>
      <c r="G15" s="10"/>
      <c r="H15" s="67"/>
      <c r="I15" s="10"/>
      <c r="J15" s="66"/>
      <c r="K15" s="10">
        <v>141820.0</v>
      </c>
      <c r="L15" s="46"/>
      <c r="M15" s="10">
        <v>543328.0</v>
      </c>
      <c r="N15" s="46">
        <v>135002.0</v>
      </c>
      <c r="O15" s="10"/>
      <c r="P15" s="10">
        <v>279880.0</v>
      </c>
      <c r="Q15" s="9"/>
      <c r="R15" s="10"/>
      <c r="S15" s="10"/>
      <c r="T15" s="10"/>
      <c r="U15" s="10"/>
      <c r="V15" s="10"/>
      <c r="W15" s="66">
        <v>300000.0</v>
      </c>
      <c r="X15" s="10"/>
      <c r="Y15" s="9"/>
      <c r="Z15" s="9"/>
    </row>
    <row r="16">
      <c r="A16" s="41">
        <v>46036.0</v>
      </c>
      <c r="B16" s="10"/>
      <c r="C16" s="10"/>
      <c r="D16" s="66">
        <v>140000.0</v>
      </c>
      <c r="E16" s="10"/>
      <c r="F16" s="9"/>
      <c r="G16" s="10">
        <v>258640.0</v>
      </c>
      <c r="H16" s="10">
        <v>258640.0</v>
      </c>
      <c r="I16" s="10"/>
      <c r="J16" s="66"/>
      <c r="K16" s="66">
        <v>150000.0</v>
      </c>
      <c r="L16" s="46"/>
      <c r="M16" s="10"/>
      <c r="N16" s="10">
        <v>492280.0</v>
      </c>
      <c r="O16" s="9"/>
      <c r="P16" s="10"/>
      <c r="Q16" s="9"/>
      <c r="R16" s="9"/>
      <c r="S16" s="10">
        <v>279880.0</v>
      </c>
      <c r="T16" s="10"/>
      <c r="U16" s="10"/>
      <c r="V16" s="10">
        <v>375460.0</v>
      </c>
      <c r="W16" s="66"/>
      <c r="X16" s="10"/>
      <c r="Y16" s="9"/>
      <c r="Z16" s="9"/>
    </row>
    <row r="17">
      <c r="A17" s="41">
        <v>46037.0</v>
      </c>
      <c r="B17" s="9"/>
      <c r="C17" s="10"/>
      <c r="D17" s="43"/>
      <c r="E17" s="9"/>
      <c r="F17" s="9"/>
      <c r="G17" s="10"/>
      <c r="H17" s="10"/>
      <c r="I17" s="9"/>
      <c r="J17" s="9"/>
      <c r="K17" s="9"/>
      <c r="L17" s="46"/>
      <c r="M17" s="10"/>
      <c r="N17" s="10"/>
      <c r="O17" s="9"/>
      <c r="P17" s="9"/>
      <c r="Q17" s="9"/>
      <c r="R17" s="66">
        <v>280000.0</v>
      </c>
      <c r="S17" s="10"/>
      <c r="T17" s="10">
        <v>681099.0</v>
      </c>
      <c r="U17" s="9"/>
      <c r="V17" s="10"/>
      <c r="W17" s="9"/>
      <c r="X17" s="9"/>
      <c r="Y17" s="9"/>
      <c r="Z17" s="9"/>
    </row>
    <row r="18">
      <c r="A18" s="41">
        <v>46038.0</v>
      </c>
      <c r="B18" s="9"/>
      <c r="C18" s="10"/>
      <c r="D18" s="44"/>
      <c r="E18" s="9"/>
      <c r="F18" s="10">
        <v>166600.0</v>
      </c>
      <c r="G18" s="10">
        <v>141820.0</v>
      </c>
      <c r="H18" s="9"/>
      <c r="I18" s="9"/>
      <c r="J18" s="9"/>
      <c r="K18" s="9"/>
      <c r="L18" s="9"/>
      <c r="M18" s="10"/>
      <c r="N18" s="10"/>
      <c r="O18" s="43"/>
      <c r="P18" s="9"/>
      <c r="Q18" s="10">
        <v>152440.0</v>
      </c>
      <c r="R18" s="66"/>
      <c r="S18" s="43"/>
      <c r="T18" s="10"/>
      <c r="U18" s="9"/>
      <c r="V18" s="9"/>
      <c r="W18" s="9"/>
      <c r="X18" s="9"/>
      <c r="Y18" s="9"/>
      <c r="Z18" s="9"/>
    </row>
    <row r="19">
      <c r="A19" s="41">
        <v>46039.0</v>
      </c>
      <c r="B19" s="9"/>
      <c r="C19" s="10"/>
      <c r="D19" s="43"/>
      <c r="E19" s="9"/>
      <c r="F19" s="9"/>
      <c r="G19" s="66">
        <v>141000.0</v>
      </c>
      <c r="H19" s="9"/>
      <c r="I19" s="9"/>
      <c r="J19" s="9"/>
      <c r="K19" s="9"/>
      <c r="L19" s="9"/>
      <c r="M19" s="9"/>
      <c r="N19" s="10"/>
      <c r="O19" s="10">
        <v>141820.0</v>
      </c>
      <c r="P19" s="9"/>
      <c r="Q19" s="9"/>
      <c r="R19" s="43"/>
      <c r="S19" s="9"/>
      <c r="T19" s="10"/>
      <c r="U19" s="10">
        <v>141820.0</v>
      </c>
      <c r="V19" s="9"/>
      <c r="W19" s="10">
        <v>909574.0</v>
      </c>
      <c r="X19" s="9"/>
      <c r="Y19" s="9"/>
      <c r="Z19" s="9"/>
    </row>
    <row r="20">
      <c r="A20" s="41">
        <v>46040.0</v>
      </c>
      <c r="B20" s="9"/>
      <c r="C20" s="10"/>
      <c r="D20" s="10">
        <v>517871.0</v>
      </c>
      <c r="E20" s="9"/>
      <c r="F20" s="9"/>
      <c r="G20" s="43"/>
      <c r="H20" s="9"/>
      <c r="I20" s="9"/>
      <c r="J20" s="9"/>
      <c r="K20" s="9"/>
      <c r="L20" s="9"/>
      <c r="M20" s="9"/>
      <c r="N20" s="9"/>
      <c r="O20" s="10">
        <v>656513.0</v>
      </c>
      <c r="P20" s="9"/>
      <c r="Q20" s="10">
        <v>626287.0</v>
      </c>
      <c r="R20" s="9"/>
      <c r="S20" s="9"/>
      <c r="T20" s="10"/>
      <c r="U20" s="10">
        <v>141820.0</v>
      </c>
      <c r="V20" s="10">
        <v>141820.0</v>
      </c>
      <c r="W20" s="10"/>
      <c r="X20" s="9"/>
      <c r="Y20" s="9"/>
      <c r="Z20" s="9"/>
    </row>
    <row r="21">
      <c r="A21" s="41">
        <v>46041.0</v>
      </c>
      <c r="B21" s="9"/>
      <c r="C21" s="10"/>
      <c r="D21" s="10"/>
      <c r="E21" s="9"/>
      <c r="F21" s="9"/>
      <c r="G21" s="10">
        <v>269513.0</v>
      </c>
      <c r="H21" s="9"/>
      <c r="I21" s="9"/>
      <c r="J21" s="10">
        <v>279880.0</v>
      </c>
      <c r="K21" s="10">
        <v>144756.0</v>
      </c>
      <c r="L21" s="46">
        <v>149466.0</v>
      </c>
      <c r="M21" s="9"/>
      <c r="N21" s="10">
        <v>144756.0</v>
      </c>
      <c r="O21" s="10"/>
      <c r="P21" s="10">
        <v>152440.0</v>
      </c>
      <c r="Q21" s="10"/>
      <c r="R21" s="9"/>
      <c r="S21" s="10">
        <v>152440.0</v>
      </c>
      <c r="T21" s="10"/>
      <c r="U21" s="10">
        <v>258689.0</v>
      </c>
      <c r="V21" s="10">
        <v>141820.0</v>
      </c>
      <c r="W21" s="10"/>
      <c r="X21" s="9"/>
      <c r="Y21" s="68">
        <v>600000.0</v>
      </c>
      <c r="Z21" s="9"/>
    </row>
    <row r="22">
      <c r="A22" s="41">
        <v>46042.0</v>
      </c>
      <c r="B22" s="10">
        <v>309878.0</v>
      </c>
      <c r="C22" s="10"/>
      <c r="D22" s="10"/>
      <c r="E22" s="66">
        <v>230000.0</v>
      </c>
      <c r="F22" s="10">
        <v>152440.0</v>
      </c>
      <c r="G22" s="10"/>
      <c r="H22" s="10">
        <v>275907.0</v>
      </c>
      <c r="I22" s="66">
        <v>450000.0</v>
      </c>
      <c r="J22" s="10"/>
      <c r="K22" s="10">
        <v>141820.0</v>
      </c>
      <c r="L22" s="10">
        <v>152440.0</v>
      </c>
      <c r="M22" s="10">
        <v>308677.0</v>
      </c>
      <c r="N22" s="10">
        <v>431674.0</v>
      </c>
      <c r="O22" s="10"/>
      <c r="P22" s="10">
        <v>450319.0</v>
      </c>
      <c r="Q22" s="10"/>
      <c r="R22" s="10">
        <v>429382.0</v>
      </c>
      <c r="S22" s="10">
        <v>590369.0</v>
      </c>
      <c r="T22" s="10">
        <v>152440.0</v>
      </c>
      <c r="U22" s="10"/>
      <c r="V22" s="46">
        <v>268426.0</v>
      </c>
      <c r="W22" s="10"/>
      <c r="X22" s="10">
        <v>460487.0</v>
      </c>
      <c r="Y22" s="68"/>
      <c r="Z22" s="9"/>
    </row>
    <row r="23">
      <c r="A23" s="41">
        <v>46043.0</v>
      </c>
      <c r="B23" s="10"/>
      <c r="C23" s="10">
        <v>359614.0</v>
      </c>
      <c r="D23" s="10"/>
      <c r="E23" s="10">
        <v>319966.0</v>
      </c>
      <c r="F23" s="46">
        <v>294111.0</v>
      </c>
      <c r="G23" s="10">
        <v>309186.0</v>
      </c>
      <c r="H23" s="10"/>
      <c r="I23" s="66"/>
      <c r="J23" s="66">
        <v>256096.0</v>
      </c>
      <c r="K23" s="10">
        <v>299340.0</v>
      </c>
      <c r="L23" s="10">
        <v>325581.0</v>
      </c>
      <c r="M23" s="10"/>
      <c r="N23" s="10"/>
      <c r="O23" s="10"/>
      <c r="P23" s="10"/>
      <c r="Q23" s="10"/>
      <c r="R23" s="10"/>
      <c r="S23" s="10"/>
      <c r="T23" s="10">
        <v>320444.0</v>
      </c>
      <c r="U23" s="10">
        <v>302470.0</v>
      </c>
      <c r="V23" s="46"/>
      <c r="W23" s="10"/>
      <c r="X23" s="10"/>
      <c r="Y23" s="68"/>
      <c r="Z23" s="9"/>
    </row>
    <row r="24">
      <c r="A24" s="41">
        <v>46044.0</v>
      </c>
      <c r="B24" s="10">
        <v>172032.0</v>
      </c>
      <c r="C24" s="10"/>
      <c r="D24" s="10">
        <v>158123.0</v>
      </c>
      <c r="E24" s="10"/>
      <c r="F24" s="46"/>
      <c r="G24" s="10"/>
      <c r="H24" s="10">
        <v>158128.0</v>
      </c>
      <c r="I24" s="66"/>
      <c r="J24" s="66"/>
      <c r="K24" s="10"/>
      <c r="L24" s="10"/>
      <c r="M24" s="10">
        <v>167869.0</v>
      </c>
      <c r="N24" s="10"/>
      <c r="O24" s="10"/>
      <c r="P24" s="10"/>
      <c r="Q24" s="66">
        <v>250000.0</v>
      </c>
      <c r="R24" s="10"/>
      <c r="S24" s="10"/>
      <c r="T24" s="10"/>
      <c r="U24" s="10"/>
      <c r="V24" s="10">
        <v>148671.0</v>
      </c>
      <c r="W24" s="10"/>
      <c r="X24" s="10"/>
      <c r="Y24" s="68"/>
      <c r="Z24" s="9"/>
    </row>
    <row r="25">
      <c r="A25" s="41">
        <v>46045.0</v>
      </c>
      <c r="B25" s="9"/>
      <c r="C25" s="9"/>
      <c r="D25" s="10"/>
      <c r="E25" s="9"/>
      <c r="F25" s="9"/>
      <c r="G25" s="43"/>
      <c r="H25" s="9"/>
      <c r="I25" s="9"/>
      <c r="J25" s="9"/>
      <c r="K25" s="9"/>
      <c r="L25" s="9"/>
      <c r="M25" s="9"/>
      <c r="N25" s="9"/>
      <c r="O25" s="9"/>
      <c r="P25" s="9"/>
      <c r="Q25" s="9"/>
      <c r="R25" s="43"/>
      <c r="S25" s="10"/>
      <c r="T25" s="9"/>
      <c r="U25" s="9"/>
      <c r="W25" s="10"/>
      <c r="X25" s="9"/>
      <c r="Y25" s="68"/>
      <c r="Z25" s="9"/>
    </row>
    <row r="26">
      <c r="A26" s="41">
        <v>46046.0</v>
      </c>
      <c r="B26" s="9"/>
      <c r="C26" s="9"/>
      <c r="D26" s="9"/>
      <c r="E26" s="43"/>
      <c r="F26" s="43"/>
      <c r="G26" s="43"/>
      <c r="H26" s="43"/>
      <c r="I26" s="9"/>
      <c r="J26" s="9"/>
      <c r="K26" s="43"/>
      <c r="L26" s="9"/>
      <c r="M26" s="9"/>
      <c r="N26" s="9"/>
      <c r="O26" s="43"/>
      <c r="P26" s="9"/>
      <c r="Q26" s="9"/>
      <c r="R26" s="9"/>
      <c r="S26" s="10">
        <v>152440.0</v>
      </c>
      <c r="T26" s="43"/>
      <c r="U26" s="9"/>
      <c r="V26" s="10">
        <v>284600.0</v>
      </c>
      <c r="W26" s="9"/>
      <c r="X26" s="9"/>
      <c r="Y26" s="9"/>
      <c r="Z26" s="9"/>
    </row>
    <row r="27">
      <c r="A27" s="41">
        <v>46047.0</v>
      </c>
      <c r="B27" s="9"/>
      <c r="C27" s="9"/>
      <c r="D27" s="9"/>
      <c r="E27" s="9"/>
      <c r="F27" s="9"/>
      <c r="G27" s="10">
        <v>279880.0</v>
      </c>
      <c r="H27" s="46">
        <v>155000.0</v>
      </c>
      <c r="I27" s="9"/>
      <c r="J27" s="9"/>
      <c r="K27" s="43"/>
      <c r="L27" s="9"/>
      <c r="M27" s="9"/>
      <c r="N27" s="9"/>
      <c r="O27" s="9"/>
      <c r="P27" s="9"/>
      <c r="Q27" s="9"/>
      <c r="R27" s="9"/>
      <c r="S27" s="10">
        <v>152440.0</v>
      </c>
      <c r="T27" s="10">
        <v>688571.0</v>
      </c>
      <c r="U27" s="10">
        <v>258640.0</v>
      </c>
      <c r="V27" s="10"/>
      <c r="W27" s="9"/>
      <c r="X27" s="9"/>
      <c r="Y27" s="9"/>
      <c r="Z27" s="9"/>
    </row>
    <row r="28">
      <c r="A28" s="41">
        <v>46048.0</v>
      </c>
      <c r="B28" s="9"/>
      <c r="C28" s="9"/>
      <c r="D28" s="9"/>
      <c r="E28" s="9"/>
      <c r="F28" s="46">
        <v>150000.0</v>
      </c>
      <c r="G28" s="10"/>
      <c r="H28" s="9"/>
      <c r="I28" s="9"/>
      <c r="J28" s="66">
        <v>170000.0</v>
      </c>
      <c r="K28" s="9"/>
      <c r="L28" s="9"/>
      <c r="M28" s="10">
        <v>408859.0</v>
      </c>
      <c r="N28" s="9"/>
      <c r="O28" s="9"/>
      <c r="P28" s="9"/>
      <c r="Q28" s="9"/>
      <c r="R28" s="9"/>
      <c r="S28" s="10">
        <v>152440.0</v>
      </c>
      <c r="T28" s="10"/>
      <c r="U28" s="10"/>
      <c r="V28" s="10">
        <v>152440.0</v>
      </c>
      <c r="W28" s="9"/>
      <c r="X28" s="9"/>
      <c r="Y28" s="9"/>
      <c r="Z28" s="9"/>
    </row>
    <row r="29">
      <c r="A29" s="41">
        <v>46049.0</v>
      </c>
      <c r="B29" s="9"/>
      <c r="C29" s="9"/>
      <c r="D29" s="9"/>
      <c r="E29" s="10">
        <v>308200.0</v>
      </c>
      <c r="F29" s="9"/>
      <c r="G29" s="10">
        <v>288243.0</v>
      </c>
      <c r="H29" s="9"/>
      <c r="I29" s="9"/>
      <c r="J29" s="9"/>
      <c r="K29" s="9"/>
      <c r="L29" s="9"/>
      <c r="M29" s="10"/>
      <c r="N29" s="43"/>
      <c r="O29" s="9"/>
      <c r="P29" s="10">
        <v>934009.0</v>
      </c>
      <c r="Q29" s="68">
        <v>195000.0</v>
      </c>
      <c r="R29" s="9"/>
      <c r="S29" s="9"/>
      <c r="T29" s="10"/>
      <c r="U29" s="9"/>
      <c r="V29" s="9"/>
      <c r="W29" s="9"/>
      <c r="X29" s="10">
        <v>280151.0</v>
      </c>
      <c r="Y29" s="9"/>
      <c r="Z29" s="9"/>
    </row>
    <row r="30">
      <c r="A30" s="41">
        <v>46050.0</v>
      </c>
      <c r="B30" s="9"/>
      <c r="D30" s="9"/>
      <c r="E30" s="10"/>
      <c r="F30" s="10">
        <v>416424.0</v>
      </c>
      <c r="G30" s="10"/>
      <c r="H30" s="46">
        <v>187797.0</v>
      </c>
      <c r="I30" s="46">
        <v>192860.0</v>
      </c>
      <c r="J30" s="9"/>
      <c r="K30" s="9"/>
      <c r="L30" s="68">
        <v>160000.0</v>
      </c>
      <c r="M30" s="10"/>
      <c r="N30" s="9"/>
      <c r="O30" s="9"/>
      <c r="P30" s="10"/>
      <c r="Q30" s="9"/>
      <c r="R30" s="9"/>
      <c r="S30" s="10">
        <v>301801.0</v>
      </c>
      <c r="T30" s="10"/>
      <c r="U30" s="10">
        <v>279880.0</v>
      </c>
      <c r="V30" s="9"/>
      <c r="W30" s="46">
        <v>202503.0</v>
      </c>
      <c r="X30" s="10"/>
      <c r="Y30" s="9"/>
      <c r="Z30" s="9"/>
    </row>
    <row r="31">
      <c r="A31" s="41">
        <v>46051.0</v>
      </c>
      <c r="B31" s="9"/>
      <c r="D31" s="9"/>
      <c r="E31" s="9"/>
      <c r="F31" s="10"/>
      <c r="G31" s="43"/>
      <c r="H31" s="9"/>
      <c r="I31" s="9"/>
      <c r="J31" s="9"/>
      <c r="K31" s="10">
        <v>153466.0</v>
      </c>
      <c r="L31" s="9"/>
      <c r="M31" s="9"/>
      <c r="N31" s="10">
        <v>152440.0</v>
      </c>
      <c r="O31" s="9"/>
      <c r="P31" s="10"/>
      <c r="Q31" s="9"/>
      <c r="R31" s="10">
        <v>163060.0</v>
      </c>
      <c r="S31" s="10"/>
      <c r="T31" s="10"/>
      <c r="U31" s="10"/>
      <c r="V31" s="9"/>
      <c r="W31" s="9"/>
      <c r="X31" s="9"/>
      <c r="Y31" s="66">
        <v>143000.0</v>
      </c>
      <c r="Z31" s="9"/>
    </row>
    <row r="32">
      <c r="A32" s="41">
        <v>46052.0</v>
      </c>
      <c r="B32" s="43"/>
      <c r="C32" s="68">
        <v>311647.0</v>
      </c>
      <c r="D32" s="9"/>
      <c r="E32" s="9"/>
      <c r="F32" s="10"/>
      <c r="G32" s="10">
        <v>152440.0</v>
      </c>
      <c r="H32" s="43"/>
      <c r="I32" s="9"/>
      <c r="J32" s="66">
        <v>297325.0</v>
      </c>
      <c r="K32" s="43"/>
      <c r="L32" s="9"/>
      <c r="M32" s="9"/>
      <c r="N32" s="9"/>
      <c r="O32" s="9"/>
      <c r="P32" s="10"/>
      <c r="Q32" s="9"/>
      <c r="R32" s="10"/>
      <c r="S32" s="10">
        <v>322360.0</v>
      </c>
      <c r="T32" s="9"/>
      <c r="U32" s="10">
        <v>279880.0</v>
      </c>
      <c r="V32" s="43"/>
      <c r="W32" s="43"/>
      <c r="X32" s="10">
        <v>287702.0</v>
      </c>
      <c r="Y32" s="9"/>
      <c r="Z32" s="9"/>
    </row>
    <row r="33">
      <c r="A33" s="41">
        <v>46053.0</v>
      </c>
      <c r="B33" s="9"/>
      <c r="C33" s="68"/>
      <c r="D33" s="9"/>
      <c r="E33" s="43"/>
      <c r="F33" s="10">
        <v>173680.0</v>
      </c>
      <c r="G33" s="10">
        <v>290500.0</v>
      </c>
      <c r="H33" s="9"/>
      <c r="I33" s="46">
        <v>472507.0</v>
      </c>
      <c r="J33" s="66"/>
      <c r="K33" s="10">
        <v>163060.0</v>
      </c>
      <c r="L33" s="9"/>
      <c r="M33" s="9"/>
      <c r="N33" s="10">
        <v>152440.0</v>
      </c>
      <c r="O33" s="10">
        <v>152440.0</v>
      </c>
      <c r="P33" s="10"/>
      <c r="Q33" s="9"/>
      <c r="R33" s="43"/>
      <c r="S33" s="10"/>
      <c r="T33" s="10">
        <v>173380.0</v>
      </c>
      <c r="U33" s="10"/>
      <c r="V33" s="10">
        <v>149255.0</v>
      </c>
      <c r="W33" s="9"/>
      <c r="X33" s="10"/>
      <c r="Y33" s="10">
        <v>141983.0</v>
      </c>
      <c r="Z33" s="9"/>
    </row>
    <row r="34">
      <c r="A34" s="5" t="s">
        <v>2</v>
      </c>
      <c r="B34" s="69">
        <f t="shared" ref="B34:Y34" si="1">SUM(B3:B33)</f>
        <v>1013350</v>
      </c>
      <c r="C34" s="69">
        <f t="shared" si="1"/>
        <v>1615977</v>
      </c>
      <c r="D34" s="69">
        <f t="shared" si="1"/>
        <v>815994</v>
      </c>
      <c r="E34" s="69">
        <f t="shared" si="1"/>
        <v>1370486</v>
      </c>
      <c r="F34" s="69">
        <f t="shared" si="1"/>
        <v>1881155</v>
      </c>
      <c r="G34" s="69">
        <f t="shared" si="1"/>
        <v>3377080</v>
      </c>
      <c r="H34" s="69">
        <f t="shared" si="1"/>
        <v>1590168</v>
      </c>
      <c r="I34" s="69">
        <f t="shared" si="1"/>
        <v>2436305</v>
      </c>
      <c r="J34" s="69">
        <f t="shared" si="1"/>
        <v>1453301</v>
      </c>
      <c r="K34" s="69">
        <f t="shared" si="1"/>
        <v>1194262</v>
      </c>
      <c r="L34" s="69">
        <f t="shared" si="1"/>
        <v>1574355</v>
      </c>
      <c r="M34" s="69">
        <f t="shared" si="1"/>
        <v>1708613</v>
      </c>
      <c r="N34" s="69">
        <f t="shared" si="1"/>
        <v>1810412</v>
      </c>
      <c r="O34" s="69">
        <f t="shared" si="1"/>
        <v>1614713</v>
      </c>
      <c r="P34" s="69">
        <f t="shared" si="1"/>
        <v>2541348</v>
      </c>
      <c r="Q34" s="69">
        <f t="shared" si="1"/>
        <v>1223727</v>
      </c>
      <c r="R34" s="69">
        <f t="shared" si="1"/>
        <v>1352702</v>
      </c>
      <c r="S34" s="69">
        <f t="shared" si="1"/>
        <v>3512559</v>
      </c>
      <c r="T34" s="69">
        <f t="shared" si="1"/>
        <v>2733911</v>
      </c>
      <c r="U34" s="69">
        <f t="shared" si="1"/>
        <v>2840928</v>
      </c>
      <c r="V34" s="69">
        <f t="shared" si="1"/>
        <v>2891940</v>
      </c>
      <c r="W34" s="69">
        <f t="shared" si="1"/>
        <v>1819397</v>
      </c>
      <c r="X34" s="69">
        <f t="shared" si="1"/>
        <v>1435660</v>
      </c>
      <c r="Y34" s="69">
        <f t="shared" si="1"/>
        <v>1272943</v>
      </c>
      <c r="Z34" s="69">
        <f t="shared" ref="Z34:Z35" si="2">SUM(B34:Y34)</f>
        <v>45081286</v>
      </c>
    </row>
    <row r="35">
      <c r="A35" s="21" t="s">
        <v>3</v>
      </c>
      <c r="B35" s="22">
        <v>7.0</v>
      </c>
      <c r="C35" s="22">
        <v>12.0</v>
      </c>
      <c r="D35" s="22">
        <v>7.0</v>
      </c>
      <c r="E35" s="22">
        <v>8.0</v>
      </c>
      <c r="F35" s="22">
        <v>13.0</v>
      </c>
      <c r="G35" s="22">
        <v>23.0</v>
      </c>
      <c r="H35" s="22">
        <v>11.0</v>
      </c>
      <c r="I35" s="22">
        <v>15.0</v>
      </c>
      <c r="J35" s="22">
        <v>10.0</v>
      </c>
      <c r="K35" s="22">
        <v>8.0</v>
      </c>
      <c r="L35" s="22">
        <v>10.0</v>
      </c>
      <c r="M35" s="22">
        <v>12.0</v>
      </c>
      <c r="N35" s="22">
        <v>13.0</v>
      </c>
      <c r="O35" s="22">
        <v>12.0</v>
      </c>
      <c r="P35" s="22">
        <v>16.0</v>
      </c>
      <c r="Q35" s="22">
        <v>7.0</v>
      </c>
      <c r="R35" s="22">
        <v>11.0</v>
      </c>
      <c r="S35" s="22">
        <v>24.0</v>
      </c>
      <c r="T35" s="22">
        <v>19.0</v>
      </c>
      <c r="U35" s="22">
        <v>20.0</v>
      </c>
      <c r="V35" s="22">
        <v>20.0</v>
      </c>
      <c r="W35" s="22">
        <v>10.0</v>
      </c>
      <c r="X35" s="22">
        <v>10.0</v>
      </c>
      <c r="Y35" s="22">
        <v>16.0</v>
      </c>
      <c r="Z35" s="70">
        <f t="shared" si="2"/>
        <v>314</v>
      </c>
    </row>
    <row r="36">
      <c r="A36" s="23" t="s">
        <v>4</v>
      </c>
      <c r="B36" s="24">
        <f t="shared" ref="B36:Y36" si="3">(B35/31)</f>
        <v>0.2258064516</v>
      </c>
      <c r="C36" s="24">
        <f t="shared" si="3"/>
        <v>0.3870967742</v>
      </c>
      <c r="D36" s="24">
        <f t="shared" si="3"/>
        <v>0.2258064516</v>
      </c>
      <c r="E36" s="24">
        <f t="shared" si="3"/>
        <v>0.2580645161</v>
      </c>
      <c r="F36" s="24">
        <f t="shared" si="3"/>
        <v>0.4193548387</v>
      </c>
      <c r="G36" s="24">
        <f t="shared" si="3"/>
        <v>0.7419354839</v>
      </c>
      <c r="H36" s="24">
        <f t="shared" si="3"/>
        <v>0.3548387097</v>
      </c>
      <c r="I36" s="24">
        <f t="shared" si="3"/>
        <v>0.4838709677</v>
      </c>
      <c r="J36" s="24">
        <f t="shared" si="3"/>
        <v>0.3225806452</v>
      </c>
      <c r="K36" s="24">
        <f t="shared" si="3"/>
        <v>0.2580645161</v>
      </c>
      <c r="L36" s="24">
        <f t="shared" si="3"/>
        <v>0.3225806452</v>
      </c>
      <c r="M36" s="24">
        <f t="shared" si="3"/>
        <v>0.3870967742</v>
      </c>
      <c r="N36" s="24">
        <f t="shared" si="3"/>
        <v>0.4193548387</v>
      </c>
      <c r="O36" s="24">
        <f t="shared" si="3"/>
        <v>0.3870967742</v>
      </c>
      <c r="P36" s="24">
        <f t="shared" si="3"/>
        <v>0.5161290323</v>
      </c>
      <c r="Q36" s="24">
        <f t="shared" si="3"/>
        <v>0.2258064516</v>
      </c>
      <c r="R36" s="24">
        <f t="shared" si="3"/>
        <v>0.3548387097</v>
      </c>
      <c r="S36" s="24">
        <f t="shared" si="3"/>
        <v>0.7741935484</v>
      </c>
      <c r="T36" s="24">
        <f t="shared" si="3"/>
        <v>0.6129032258</v>
      </c>
      <c r="U36" s="24">
        <f t="shared" si="3"/>
        <v>0.6451612903</v>
      </c>
      <c r="V36" s="24">
        <f t="shared" si="3"/>
        <v>0.6451612903</v>
      </c>
      <c r="W36" s="24">
        <f t="shared" si="3"/>
        <v>0.3225806452</v>
      </c>
      <c r="X36" s="24">
        <f t="shared" si="3"/>
        <v>0.3225806452</v>
      </c>
      <c r="Y36" s="24">
        <f t="shared" si="3"/>
        <v>0.5161290323</v>
      </c>
      <c r="Z36" s="25"/>
    </row>
    <row r="37">
      <c r="A37" s="26" t="s">
        <v>5</v>
      </c>
      <c r="B37" s="27">
        <f>B39/B38</f>
        <v>0.4220430108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9"/>
      <c r="Z37" s="4"/>
    </row>
    <row r="38">
      <c r="A38" s="23" t="s">
        <v>6</v>
      </c>
      <c r="B38" s="48">
        <f>31*24</f>
        <v>744</v>
      </c>
      <c r="C38" s="4"/>
      <c r="D38" s="4"/>
      <c r="E38" s="4"/>
      <c r="F38" s="4"/>
      <c r="G38" s="9"/>
      <c r="H38" s="4"/>
      <c r="I38" s="9"/>
      <c r="J38" s="9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9" t="s">
        <v>7</v>
      </c>
      <c r="B39" s="30">
        <f>Z35</f>
        <v>314</v>
      </c>
      <c r="C39" s="4"/>
      <c r="E39" s="4"/>
      <c r="F39" s="4"/>
      <c r="G39" s="9"/>
      <c r="H39" s="4"/>
      <c r="I39" s="9"/>
      <c r="J39" s="9"/>
      <c r="K39" s="4"/>
      <c r="L39" s="4"/>
      <c r="M39" s="4"/>
      <c r="N39" s="4"/>
      <c r="O39" s="4"/>
      <c r="P39" s="4"/>
      <c r="Q39" s="4"/>
      <c r="R39" s="4"/>
      <c r="S39" s="31"/>
      <c r="T39" s="4"/>
      <c r="U39" s="32"/>
      <c r="V39" s="4"/>
      <c r="W39" s="4"/>
      <c r="X39" s="4"/>
      <c r="Y39" s="4"/>
      <c r="Z39" s="4"/>
    </row>
    <row r="40">
      <c r="A40" s="23" t="s">
        <v>8</v>
      </c>
      <c r="B40" s="33">
        <f>60000+20000+30000</f>
        <v>110000</v>
      </c>
      <c r="C40" s="4"/>
      <c r="D40" s="4"/>
      <c r="E40" s="4"/>
      <c r="F40" s="4"/>
      <c r="G40" s="9"/>
      <c r="H40" s="4"/>
      <c r="I40" s="9"/>
      <c r="J40" s="9"/>
      <c r="K40" s="4"/>
      <c r="L40" s="4"/>
      <c r="M40" s="4"/>
      <c r="N40" s="31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3" t="s">
        <v>10</v>
      </c>
      <c r="B41" s="71">
        <v>4.5081286E7</v>
      </c>
      <c r="D41" s="4"/>
      <c r="E41" s="4"/>
      <c r="F41" s="4"/>
      <c r="G41" s="9"/>
      <c r="H41" s="4"/>
      <c r="I41" s="9"/>
      <c r="J41" s="9"/>
      <c r="K41" s="4"/>
      <c r="L41" s="31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5" t="s">
        <v>11</v>
      </c>
      <c r="B42" s="36">
        <f>186912+240584+124687+210363+265063+543359+215853+97264+51624+192613+88171+315156+279517+223076+419530+143599+204010+647896+470531+479176+430355+242901+264807+97736</f>
        <v>6434783</v>
      </c>
      <c r="C42" s="4"/>
      <c r="D42" s="4"/>
      <c r="E42" s="4"/>
      <c r="F42" s="4"/>
      <c r="G42" s="9"/>
      <c r="H42" s="4"/>
      <c r="I42" s="9"/>
      <c r="J42" s="9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5" t="s">
        <v>12</v>
      </c>
      <c r="B43" s="36">
        <f>100000+75000+75000+125000+200000+325000+170000+125000+120000+175000+150000+125000+200000+125000+175000+100000+100000+325000+175000+245000+325000+100000+100000+75000</f>
        <v>3810000</v>
      </c>
      <c r="C43" s="4"/>
      <c r="D43" s="4"/>
      <c r="E43" s="4"/>
      <c r="F43" s="4"/>
      <c r="G43" s="9"/>
      <c r="H43" s="4"/>
      <c r="I43" s="9"/>
      <c r="J43" s="9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5" t="s">
        <v>13</v>
      </c>
      <c r="B44" s="36">
        <f>617472+1112418+523861+881841+1209303+2025694+1025481+1628348+1089403+702651+1135756+1078197+1131261+1133686+1429417+832939+969734+2170586+1775387+1807156+1851590+1296272+910225+1005577</f>
        <v>29344255</v>
      </c>
      <c r="C44" s="4"/>
      <c r="D44" s="4"/>
      <c r="E44" s="4"/>
      <c r="F44" s="4"/>
      <c r="G44" s="9"/>
      <c r="H44" s="4"/>
      <c r="I44" s="9"/>
      <c r="J44" s="9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5" t="s">
        <v>14</v>
      </c>
      <c r="B45" s="36">
        <f>108966+196309+92446+153282+147673+350227+154414+124508+151399+123997+72540+190270+183134+182390+245094+121489+154134+369105+289569+290683+274131+194849+160628+73797</f>
        <v>4405034</v>
      </c>
      <c r="C45" s="4"/>
      <c r="E45" s="4"/>
      <c r="F45" s="4"/>
      <c r="G45" s="9"/>
      <c r="H45" s="4"/>
      <c r="I45" s="9"/>
      <c r="J45" s="9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5" t="s">
        <v>30</v>
      </c>
      <c r="B46" s="36">
        <f>46152+40367+18750+24420+115293+25179+67126+40849+88967+18670+16500+23733+18750+36502+26625+17944</f>
        <v>625827</v>
      </c>
      <c r="C46" s="4"/>
      <c r="E46" s="4"/>
      <c r="F46" s="4"/>
      <c r="G46" s="9"/>
      <c r="H46" s="4"/>
      <c r="I46" s="9"/>
      <c r="J46" s="9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5" t="s">
        <v>15</v>
      </c>
      <c r="B47" s="36"/>
      <c r="C47" s="4"/>
      <c r="D47" s="4"/>
      <c r="E47" s="4"/>
      <c r="F47" s="4"/>
      <c r="G47" s="9"/>
      <c r="H47" s="4"/>
      <c r="I47" s="9"/>
      <c r="J47" s="9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5" t="s">
        <v>17</v>
      </c>
      <c r="B48" s="56"/>
      <c r="C48" s="4"/>
      <c r="D48" s="4"/>
      <c r="E48" s="4"/>
      <c r="F48" s="4"/>
      <c r="G48" s="9"/>
      <c r="H48" s="4"/>
      <c r="I48" s="9"/>
      <c r="J48" s="9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9"/>
      <c r="H49" s="4"/>
      <c r="I49" s="9"/>
      <c r="J49" s="9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8" t="s">
        <v>18</v>
      </c>
      <c r="B50" s="4"/>
      <c r="C50" s="4"/>
      <c r="D50" s="4"/>
      <c r="E50" s="4"/>
      <c r="F50" s="4"/>
      <c r="G50" s="9"/>
      <c r="H50" s="4"/>
      <c r="I50" s="9"/>
      <c r="J50" s="9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72" t="s">
        <v>31</v>
      </c>
      <c r="B51" s="4"/>
      <c r="C51" s="4"/>
      <c r="D51" s="4"/>
      <c r="E51" s="4"/>
      <c r="F51" s="4"/>
      <c r="G51" s="9"/>
      <c r="H51" s="4"/>
      <c r="I51" s="9"/>
      <c r="J51" s="9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9" t="s">
        <v>20</v>
      </c>
      <c r="B52" s="4"/>
      <c r="C52" s="4"/>
      <c r="D52" s="4"/>
      <c r="E52" s="4"/>
      <c r="F52" s="4"/>
      <c r="G52" s="9"/>
      <c r="H52" s="4"/>
      <c r="I52" s="9"/>
      <c r="J52" s="9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73" t="s">
        <v>32</v>
      </c>
      <c r="B53" s="4"/>
      <c r="C53" s="4"/>
      <c r="D53" s="4"/>
      <c r="E53" s="4"/>
      <c r="F53" s="4"/>
      <c r="G53" s="9"/>
      <c r="H53" s="4"/>
      <c r="I53" s="9"/>
      <c r="J53" s="9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74" t="s">
        <v>27</v>
      </c>
      <c r="B54" s="4"/>
      <c r="C54" s="4"/>
      <c r="D54" s="4"/>
      <c r="E54" s="4"/>
      <c r="F54" s="4"/>
      <c r="G54" s="9"/>
      <c r="H54" s="4"/>
      <c r="I54" s="9"/>
      <c r="J54" s="9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9"/>
      <c r="H55" s="4"/>
      <c r="I55" s="9"/>
      <c r="J55" s="9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9"/>
      <c r="H56" s="4"/>
      <c r="I56" s="9"/>
      <c r="J56" s="9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9"/>
      <c r="H57" s="4"/>
      <c r="I57" s="9"/>
      <c r="J57" s="9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9"/>
      <c r="H58" s="4"/>
      <c r="I58" s="9"/>
      <c r="J58" s="9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9"/>
      <c r="H59" s="4"/>
      <c r="I59" s="9"/>
      <c r="J59" s="9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9"/>
      <c r="H60" s="4"/>
      <c r="I60" s="9"/>
      <c r="J60" s="9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9"/>
      <c r="H61" s="4"/>
      <c r="I61" s="9"/>
      <c r="J61" s="9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9"/>
      <c r="H62" s="4"/>
      <c r="I62" s="9"/>
      <c r="J62" s="9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9"/>
      <c r="H63" s="4"/>
      <c r="I63" s="9"/>
      <c r="J63" s="9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9"/>
      <c r="H64" s="4"/>
      <c r="I64" s="9"/>
      <c r="J64" s="9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9"/>
      <c r="H65" s="4"/>
      <c r="I65" s="9"/>
      <c r="J65" s="9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9"/>
      <c r="H66" s="4"/>
      <c r="I66" s="9"/>
      <c r="J66" s="9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9"/>
      <c r="H67" s="4"/>
      <c r="I67" s="9"/>
      <c r="J67" s="9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9"/>
      <c r="H68" s="4"/>
      <c r="I68" s="9"/>
      <c r="J68" s="9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9"/>
      <c r="H69" s="4"/>
      <c r="I69" s="9"/>
      <c r="J69" s="9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9"/>
      <c r="H70" s="4"/>
      <c r="I70" s="9"/>
      <c r="J70" s="9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9"/>
      <c r="H71" s="4"/>
      <c r="I71" s="9"/>
      <c r="J71" s="9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9"/>
      <c r="H72" s="4"/>
      <c r="I72" s="9"/>
      <c r="J72" s="9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9"/>
      <c r="H73" s="4"/>
      <c r="I73" s="9"/>
      <c r="J73" s="9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9"/>
      <c r="H74" s="4"/>
      <c r="I74" s="9"/>
      <c r="J74" s="9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9"/>
      <c r="H75" s="4"/>
      <c r="I75" s="9"/>
      <c r="J75" s="9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9"/>
      <c r="H76" s="4"/>
      <c r="I76" s="9"/>
      <c r="J76" s="9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9"/>
      <c r="H77" s="4"/>
      <c r="I77" s="9"/>
      <c r="J77" s="9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9"/>
      <c r="H78" s="4"/>
      <c r="I78" s="9"/>
      <c r="J78" s="9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9"/>
      <c r="H79" s="4"/>
      <c r="I79" s="9"/>
      <c r="J79" s="9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9"/>
      <c r="H80" s="4"/>
      <c r="I80" s="9"/>
      <c r="J80" s="9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9"/>
      <c r="H81" s="4"/>
      <c r="I81" s="9"/>
      <c r="J81" s="9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9"/>
      <c r="H82" s="4"/>
      <c r="I82" s="9"/>
      <c r="J82" s="9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9"/>
      <c r="H83" s="4"/>
      <c r="I83" s="9"/>
      <c r="J83" s="9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9"/>
      <c r="H84" s="4"/>
      <c r="I84" s="9"/>
      <c r="J84" s="9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9"/>
      <c r="H85" s="4"/>
      <c r="I85" s="9"/>
      <c r="J85" s="9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9"/>
      <c r="H86" s="4"/>
      <c r="I86" s="9"/>
      <c r="J86" s="9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9"/>
      <c r="H87" s="4"/>
      <c r="I87" s="9"/>
      <c r="J87" s="9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9"/>
      <c r="H88" s="4"/>
      <c r="I88" s="9"/>
      <c r="J88" s="9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9"/>
      <c r="H89" s="4"/>
      <c r="I89" s="9"/>
      <c r="J89" s="9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9"/>
      <c r="H90" s="4"/>
      <c r="I90" s="9"/>
      <c r="J90" s="9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9"/>
      <c r="H91" s="4"/>
      <c r="I91" s="9"/>
      <c r="J91" s="9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9"/>
      <c r="H92" s="4"/>
      <c r="I92" s="9"/>
      <c r="J92" s="9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9"/>
      <c r="H93" s="4"/>
      <c r="I93" s="9"/>
      <c r="J93" s="9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9"/>
      <c r="H94" s="4"/>
      <c r="I94" s="9"/>
      <c r="J94" s="9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9"/>
      <c r="H95" s="4"/>
      <c r="I95" s="9"/>
      <c r="J95" s="9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9"/>
      <c r="H96" s="4"/>
      <c r="I96" s="9"/>
      <c r="J96" s="9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9"/>
      <c r="H97" s="4"/>
      <c r="I97" s="9"/>
      <c r="J97" s="9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9"/>
      <c r="H98" s="4"/>
      <c r="I98" s="9"/>
      <c r="J98" s="9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9"/>
      <c r="H99" s="4"/>
      <c r="I99" s="9"/>
      <c r="J99" s="9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9"/>
      <c r="H100" s="4"/>
      <c r="I100" s="9"/>
      <c r="J100" s="9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9"/>
      <c r="H101" s="4"/>
      <c r="I101" s="9"/>
      <c r="J101" s="9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9"/>
      <c r="H102" s="4"/>
      <c r="I102" s="9"/>
      <c r="J102" s="9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9"/>
      <c r="H103" s="4"/>
      <c r="I103" s="9"/>
      <c r="J103" s="9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9"/>
      <c r="H104" s="4"/>
      <c r="I104" s="9"/>
      <c r="J104" s="9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9"/>
      <c r="H105" s="4"/>
      <c r="I105" s="9"/>
      <c r="J105" s="9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9"/>
      <c r="H106" s="4"/>
      <c r="I106" s="9"/>
      <c r="J106" s="9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9"/>
      <c r="H107" s="4"/>
      <c r="I107" s="9"/>
      <c r="J107" s="9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9"/>
      <c r="H108" s="4"/>
      <c r="I108" s="9"/>
      <c r="J108" s="9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9"/>
      <c r="H109" s="4"/>
      <c r="I109" s="9"/>
      <c r="J109" s="9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9"/>
      <c r="H110" s="4"/>
      <c r="I110" s="9"/>
      <c r="J110" s="9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9"/>
      <c r="H111" s="4"/>
      <c r="I111" s="9"/>
      <c r="J111" s="9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9"/>
      <c r="H112" s="4"/>
      <c r="I112" s="9"/>
      <c r="J112" s="9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9"/>
      <c r="H113" s="4"/>
      <c r="I113" s="9"/>
      <c r="J113" s="9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9"/>
      <c r="H114" s="4"/>
      <c r="I114" s="9"/>
      <c r="J114" s="9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9"/>
      <c r="H115" s="4"/>
      <c r="I115" s="9"/>
      <c r="J115" s="9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9"/>
      <c r="H116" s="4"/>
      <c r="I116" s="9"/>
      <c r="J116" s="9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9"/>
      <c r="H117" s="4"/>
      <c r="I117" s="9"/>
      <c r="J117" s="9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9"/>
      <c r="H118" s="4"/>
      <c r="I118" s="9"/>
      <c r="J118" s="9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9"/>
      <c r="H119" s="4"/>
      <c r="I119" s="9"/>
      <c r="J119" s="9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9"/>
      <c r="H120" s="4"/>
      <c r="I120" s="9"/>
      <c r="J120" s="9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9"/>
      <c r="H121" s="4"/>
      <c r="I121" s="9"/>
      <c r="J121" s="9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9"/>
      <c r="H122" s="4"/>
      <c r="I122" s="9"/>
      <c r="J122" s="9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9"/>
      <c r="H123" s="4"/>
      <c r="I123" s="9"/>
      <c r="J123" s="9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9"/>
      <c r="H124" s="4"/>
      <c r="I124" s="9"/>
      <c r="J124" s="9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9"/>
      <c r="H125" s="4"/>
      <c r="I125" s="9"/>
      <c r="J125" s="9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9"/>
      <c r="H126" s="4"/>
      <c r="I126" s="9"/>
      <c r="J126" s="9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9"/>
      <c r="H127" s="4"/>
      <c r="I127" s="9"/>
      <c r="J127" s="9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9"/>
      <c r="H128" s="4"/>
      <c r="I128" s="9"/>
      <c r="J128" s="9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9"/>
      <c r="H129" s="4"/>
      <c r="I129" s="9"/>
      <c r="J129" s="9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9"/>
      <c r="H130" s="4"/>
      <c r="I130" s="9"/>
      <c r="J130" s="9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9"/>
      <c r="H131" s="4"/>
      <c r="I131" s="9"/>
      <c r="J131" s="9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9"/>
      <c r="H132" s="4"/>
      <c r="I132" s="9"/>
      <c r="J132" s="9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9"/>
      <c r="H133" s="4"/>
      <c r="I133" s="9"/>
      <c r="J133" s="9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9"/>
      <c r="H134" s="4"/>
      <c r="I134" s="9"/>
      <c r="J134" s="9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9"/>
      <c r="H135" s="4"/>
      <c r="I135" s="9"/>
      <c r="J135" s="9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9"/>
      <c r="H136" s="4"/>
      <c r="I136" s="9"/>
      <c r="J136" s="9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9"/>
      <c r="H137" s="4"/>
      <c r="I137" s="9"/>
      <c r="J137" s="9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9"/>
      <c r="H138" s="4"/>
      <c r="I138" s="9"/>
      <c r="J138" s="9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9"/>
      <c r="H139" s="4"/>
      <c r="I139" s="9"/>
      <c r="J139" s="9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9"/>
      <c r="H140" s="4"/>
      <c r="I140" s="9"/>
      <c r="J140" s="9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9"/>
      <c r="H141" s="4"/>
      <c r="I141" s="9"/>
      <c r="J141" s="9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9"/>
      <c r="H142" s="4"/>
      <c r="I142" s="9"/>
      <c r="J142" s="9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9"/>
      <c r="H143" s="4"/>
      <c r="I143" s="9"/>
      <c r="J143" s="9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9"/>
      <c r="H144" s="4"/>
      <c r="I144" s="9"/>
      <c r="J144" s="9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9"/>
      <c r="H145" s="4"/>
      <c r="I145" s="9"/>
      <c r="J145" s="9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9"/>
      <c r="H146" s="4"/>
      <c r="I146" s="9"/>
      <c r="J146" s="9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9"/>
      <c r="H147" s="4"/>
      <c r="I147" s="9"/>
      <c r="J147" s="9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9"/>
      <c r="H148" s="4"/>
      <c r="I148" s="9"/>
      <c r="J148" s="9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9"/>
      <c r="H149" s="4"/>
      <c r="I149" s="9"/>
      <c r="J149" s="9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9"/>
      <c r="H150" s="4"/>
      <c r="I150" s="9"/>
      <c r="J150" s="9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9"/>
      <c r="H151" s="4"/>
      <c r="I151" s="9"/>
      <c r="J151" s="9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9"/>
      <c r="H152" s="4"/>
      <c r="I152" s="9"/>
      <c r="J152" s="9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9"/>
      <c r="H153" s="4"/>
      <c r="I153" s="9"/>
      <c r="J153" s="9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9"/>
      <c r="H154" s="4"/>
      <c r="I154" s="9"/>
      <c r="J154" s="9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9"/>
      <c r="H155" s="4"/>
      <c r="I155" s="9"/>
      <c r="J155" s="9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9"/>
      <c r="H156" s="4"/>
      <c r="I156" s="9"/>
      <c r="J156" s="9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9"/>
      <c r="H157" s="4"/>
      <c r="I157" s="9"/>
      <c r="J157" s="9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9"/>
      <c r="H158" s="4"/>
      <c r="I158" s="9"/>
      <c r="J158" s="9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9"/>
      <c r="H159" s="4"/>
      <c r="I159" s="9"/>
      <c r="J159" s="9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9"/>
      <c r="H160" s="4"/>
      <c r="I160" s="9"/>
      <c r="J160" s="9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9"/>
      <c r="H161" s="4"/>
      <c r="I161" s="9"/>
      <c r="J161" s="9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9"/>
      <c r="H162" s="4"/>
      <c r="I162" s="9"/>
      <c r="J162" s="9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9"/>
      <c r="H163" s="4"/>
      <c r="I163" s="9"/>
      <c r="J163" s="9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9"/>
      <c r="H164" s="4"/>
      <c r="I164" s="9"/>
      <c r="J164" s="9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9"/>
      <c r="H165" s="4"/>
      <c r="I165" s="9"/>
      <c r="J165" s="9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9"/>
      <c r="H166" s="4"/>
      <c r="I166" s="9"/>
      <c r="J166" s="9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9"/>
      <c r="H167" s="4"/>
      <c r="I167" s="9"/>
      <c r="J167" s="9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9"/>
      <c r="H168" s="4"/>
      <c r="I168" s="9"/>
      <c r="J168" s="9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9"/>
      <c r="H169" s="4"/>
      <c r="I169" s="9"/>
      <c r="J169" s="9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9"/>
      <c r="H170" s="4"/>
      <c r="I170" s="9"/>
      <c r="J170" s="9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9"/>
      <c r="H171" s="4"/>
      <c r="I171" s="9"/>
      <c r="J171" s="9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9"/>
      <c r="H172" s="4"/>
      <c r="I172" s="9"/>
      <c r="J172" s="9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9"/>
      <c r="H173" s="4"/>
      <c r="I173" s="9"/>
      <c r="J173" s="9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9"/>
      <c r="H174" s="4"/>
      <c r="I174" s="9"/>
      <c r="J174" s="9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9"/>
      <c r="H175" s="4"/>
      <c r="I175" s="9"/>
      <c r="J175" s="9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9"/>
      <c r="H176" s="4"/>
      <c r="I176" s="9"/>
      <c r="J176" s="9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9"/>
      <c r="H177" s="4"/>
      <c r="I177" s="9"/>
      <c r="J177" s="9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9"/>
      <c r="H178" s="4"/>
      <c r="I178" s="9"/>
      <c r="J178" s="9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9"/>
      <c r="H179" s="4"/>
      <c r="I179" s="9"/>
      <c r="J179" s="9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9"/>
      <c r="H180" s="4"/>
      <c r="I180" s="9"/>
      <c r="J180" s="9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9"/>
      <c r="H181" s="4"/>
      <c r="I181" s="9"/>
      <c r="J181" s="9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9"/>
      <c r="H182" s="4"/>
      <c r="I182" s="9"/>
      <c r="J182" s="9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9"/>
      <c r="H183" s="4"/>
      <c r="I183" s="9"/>
      <c r="J183" s="9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9"/>
      <c r="H184" s="4"/>
      <c r="I184" s="9"/>
      <c r="J184" s="9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9"/>
      <c r="H185" s="4"/>
      <c r="I185" s="9"/>
      <c r="J185" s="9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9"/>
      <c r="H186" s="4"/>
      <c r="I186" s="9"/>
      <c r="J186" s="9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9"/>
      <c r="H187" s="4"/>
      <c r="I187" s="9"/>
      <c r="J187" s="9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9"/>
      <c r="H188" s="4"/>
      <c r="I188" s="9"/>
      <c r="J188" s="9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9"/>
      <c r="H189" s="4"/>
      <c r="I189" s="9"/>
      <c r="J189" s="9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9"/>
      <c r="H190" s="4"/>
      <c r="I190" s="9"/>
      <c r="J190" s="9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9"/>
      <c r="H191" s="4"/>
      <c r="I191" s="9"/>
      <c r="J191" s="9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9"/>
      <c r="H192" s="4"/>
      <c r="I192" s="9"/>
      <c r="J192" s="9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9"/>
      <c r="H193" s="4"/>
      <c r="I193" s="9"/>
      <c r="J193" s="9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9"/>
      <c r="H194" s="4"/>
      <c r="I194" s="9"/>
      <c r="J194" s="9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9"/>
      <c r="H195" s="4"/>
      <c r="I195" s="9"/>
      <c r="J195" s="9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9"/>
      <c r="H196" s="4"/>
      <c r="I196" s="9"/>
      <c r="J196" s="9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9"/>
      <c r="H197" s="4"/>
      <c r="I197" s="9"/>
      <c r="J197" s="9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9"/>
      <c r="H198" s="4"/>
      <c r="I198" s="9"/>
      <c r="J198" s="9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9"/>
      <c r="H199" s="4"/>
      <c r="I199" s="9"/>
      <c r="J199" s="9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9"/>
      <c r="H200" s="4"/>
      <c r="I200" s="9"/>
      <c r="J200" s="9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9"/>
      <c r="H201" s="4"/>
      <c r="I201" s="9"/>
      <c r="J201" s="9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9"/>
      <c r="H202" s="4"/>
      <c r="I202" s="9"/>
      <c r="J202" s="9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9"/>
      <c r="H203" s="4"/>
      <c r="I203" s="9"/>
      <c r="J203" s="9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9"/>
      <c r="H204" s="4"/>
      <c r="I204" s="9"/>
      <c r="J204" s="9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9"/>
      <c r="H205" s="4"/>
      <c r="I205" s="9"/>
      <c r="J205" s="9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9"/>
      <c r="H206" s="4"/>
      <c r="I206" s="9"/>
      <c r="J206" s="9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9"/>
      <c r="H207" s="4"/>
      <c r="I207" s="9"/>
      <c r="J207" s="9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9"/>
      <c r="H208" s="4"/>
      <c r="I208" s="9"/>
      <c r="J208" s="9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9"/>
      <c r="H209" s="4"/>
      <c r="I209" s="9"/>
      <c r="J209" s="9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9"/>
      <c r="H210" s="4"/>
      <c r="I210" s="9"/>
      <c r="J210" s="9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9"/>
      <c r="H211" s="4"/>
      <c r="I211" s="9"/>
      <c r="J211" s="9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9"/>
      <c r="H212" s="4"/>
      <c r="I212" s="9"/>
      <c r="J212" s="9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9"/>
      <c r="H213" s="4"/>
      <c r="I213" s="9"/>
      <c r="J213" s="9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9"/>
      <c r="H214" s="4"/>
      <c r="I214" s="9"/>
      <c r="J214" s="9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9"/>
      <c r="H215" s="4"/>
      <c r="I215" s="9"/>
      <c r="J215" s="9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9"/>
      <c r="H216" s="4"/>
      <c r="I216" s="9"/>
      <c r="J216" s="9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9"/>
      <c r="H217" s="4"/>
      <c r="I217" s="9"/>
      <c r="J217" s="9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9"/>
      <c r="H218" s="4"/>
      <c r="I218" s="9"/>
      <c r="J218" s="9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9"/>
      <c r="H219" s="4"/>
      <c r="I219" s="9"/>
      <c r="J219" s="9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9"/>
      <c r="H220" s="4"/>
      <c r="I220" s="9"/>
      <c r="J220" s="9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9"/>
      <c r="H221" s="4"/>
      <c r="I221" s="9"/>
      <c r="J221" s="9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9"/>
      <c r="H222" s="4"/>
      <c r="I222" s="9"/>
      <c r="J222" s="9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9"/>
      <c r="H223" s="4"/>
      <c r="I223" s="9"/>
      <c r="J223" s="9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9"/>
      <c r="H224" s="4"/>
      <c r="I224" s="9"/>
      <c r="J224" s="9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9"/>
      <c r="H225" s="4"/>
      <c r="I225" s="9"/>
      <c r="J225" s="9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9"/>
      <c r="H226" s="4"/>
      <c r="I226" s="9"/>
      <c r="J226" s="9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9"/>
      <c r="H227" s="4"/>
      <c r="I227" s="9"/>
      <c r="J227" s="9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9"/>
      <c r="H228" s="4"/>
      <c r="I228" s="9"/>
      <c r="J228" s="9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9"/>
      <c r="H229" s="4"/>
      <c r="I229" s="9"/>
      <c r="J229" s="9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9"/>
      <c r="H230" s="4"/>
      <c r="I230" s="9"/>
      <c r="J230" s="9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9"/>
      <c r="H231" s="4"/>
      <c r="I231" s="9"/>
      <c r="J231" s="9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9"/>
      <c r="H232" s="4"/>
      <c r="I232" s="9"/>
      <c r="J232" s="9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9"/>
      <c r="H233" s="4"/>
      <c r="I233" s="9"/>
      <c r="J233" s="9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9"/>
      <c r="H234" s="4"/>
      <c r="I234" s="9"/>
      <c r="J234" s="9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9"/>
      <c r="H235" s="4"/>
      <c r="I235" s="9"/>
      <c r="J235" s="9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9"/>
      <c r="H236" s="4"/>
      <c r="I236" s="9"/>
      <c r="J236" s="9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9"/>
      <c r="H237" s="4"/>
      <c r="I237" s="9"/>
      <c r="J237" s="9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9"/>
      <c r="H238" s="4"/>
      <c r="I238" s="9"/>
      <c r="J238" s="9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9"/>
      <c r="H239" s="4"/>
      <c r="I239" s="9"/>
      <c r="J239" s="9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9"/>
      <c r="H240" s="4"/>
      <c r="I240" s="9"/>
      <c r="J240" s="9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9"/>
      <c r="H241" s="4"/>
      <c r="I241" s="9"/>
      <c r="J241" s="9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9"/>
      <c r="H242" s="4"/>
      <c r="I242" s="9"/>
      <c r="J242" s="9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9"/>
      <c r="H243" s="4"/>
      <c r="I243" s="9"/>
      <c r="J243" s="9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9"/>
      <c r="H244" s="4"/>
      <c r="I244" s="9"/>
      <c r="J244" s="9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9"/>
      <c r="H245" s="4"/>
      <c r="I245" s="9"/>
      <c r="J245" s="9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9"/>
      <c r="H246" s="4"/>
      <c r="I246" s="9"/>
      <c r="J246" s="9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9"/>
      <c r="H247" s="4"/>
      <c r="I247" s="9"/>
      <c r="J247" s="9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9"/>
      <c r="H248" s="4"/>
      <c r="I248" s="9"/>
      <c r="J248" s="9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9"/>
      <c r="H249" s="4"/>
      <c r="I249" s="9"/>
      <c r="J249" s="9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9"/>
      <c r="H250" s="4"/>
      <c r="I250" s="9"/>
      <c r="J250" s="9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9"/>
      <c r="H251" s="4"/>
      <c r="I251" s="9"/>
      <c r="J251" s="9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9"/>
      <c r="H252" s="4"/>
      <c r="I252" s="9"/>
      <c r="J252" s="9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9"/>
      <c r="H253" s="4"/>
      <c r="I253" s="9"/>
      <c r="J253" s="9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9"/>
      <c r="H254" s="4"/>
      <c r="I254" s="9"/>
      <c r="J254" s="9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9"/>
      <c r="H255" s="4"/>
      <c r="I255" s="9"/>
      <c r="J255" s="9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9"/>
      <c r="H256" s="4"/>
      <c r="I256" s="9"/>
      <c r="J256" s="9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9"/>
      <c r="H257" s="4"/>
      <c r="I257" s="9"/>
      <c r="J257" s="9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9"/>
      <c r="H258" s="4"/>
      <c r="I258" s="9"/>
      <c r="J258" s="9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9"/>
      <c r="H259" s="4"/>
      <c r="I259" s="9"/>
      <c r="J259" s="9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9"/>
      <c r="H260" s="4"/>
      <c r="I260" s="9"/>
      <c r="J260" s="9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9"/>
      <c r="H261" s="4"/>
      <c r="I261" s="9"/>
      <c r="J261" s="9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9"/>
      <c r="H262" s="4"/>
      <c r="I262" s="9"/>
      <c r="J262" s="9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9"/>
      <c r="H263" s="4"/>
      <c r="I263" s="9"/>
      <c r="J263" s="9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9"/>
      <c r="H264" s="4"/>
      <c r="I264" s="9"/>
      <c r="J264" s="9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9"/>
      <c r="H265" s="4"/>
      <c r="I265" s="9"/>
      <c r="J265" s="9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9"/>
      <c r="H266" s="4"/>
      <c r="I266" s="9"/>
      <c r="J266" s="9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9"/>
      <c r="H267" s="4"/>
      <c r="I267" s="9"/>
      <c r="J267" s="9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9"/>
      <c r="H268" s="4"/>
      <c r="I268" s="9"/>
      <c r="J268" s="9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9"/>
      <c r="H269" s="4"/>
      <c r="I269" s="9"/>
      <c r="J269" s="9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9"/>
      <c r="H270" s="4"/>
      <c r="I270" s="9"/>
      <c r="J270" s="9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9"/>
      <c r="H271" s="4"/>
      <c r="I271" s="9"/>
      <c r="J271" s="9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9"/>
      <c r="H272" s="4"/>
      <c r="I272" s="9"/>
      <c r="J272" s="9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9"/>
      <c r="H273" s="4"/>
      <c r="I273" s="9"/>
      <c r="J273" s="9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9"/>
      <c r="H274" s="4"/>
      <c r="I274" s="9"/>
      <c r="J274" s="9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9"/>
      <c r="H275" s="4"/>
      <c r="I275" s="9"/>
      <c r="J275" s="9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9"/>
      <c r="H276" s="4"/>
      <c r="I276" s="9"/>
      <c r="J276" s="9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9"/>
      <c r="H277" s="4"/>
      <c r="I277" s="9"/>
      <c r="J277" s="9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9"/>
      <c r="H278" s="4"/>
      <c r="I278" s="9"/>
      <c r="J278" s="9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9"/>
      <c r="H279" s="4"/>
      <c r="I279" s="9"/>
      <c r="J279" s="9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9"/>
      <c r="H280" s="4"/>
      <c r="I280" s="9"/>
      <c r="J280" s="9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9"/>
      <c r="H281" s="4"/>
      <c r="I281" s="9"/>
      <c r="J281" s="9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9"/>
      <c r="H282" s="4"/>
      <c r="I282" s="9"/>
      <c r="J282" s="9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9"/>
      <c r="H283" s="4"/>
      <c r="I283" s="9"/>
      <c r="J283" s="9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9"/>
      <c r="H284" s="4"/>
      <c r="I284" s="9"/>
      <c r="J284" s="9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9"/>
      <c r="H285" s="4"/>
      <c r="I285" s="9"/>
      <c r="J285" s="9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9"/>
      <c r="H286" s="4"/>
      <c r="I286" s="9"/>
      <c r="J286" s="9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9"/>
      <c r="H287" s="4"/>
      <c r="I287" s="9"/>
      <c r="J287" s="9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9"/>
      <c r="H288" s="4"/>
      <c r="I288" s="9"/>
      <c r="J288" s="9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9"/>
      <c r="H289" s="4"/>
      <c r="I289" s="9"/>
      <c r="J289" s="9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9"/>
      <c r="H290" s="4"/>
      <c r="I290" s="9"/>
      <c r="J290" s="9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9"/>
      <c r="H291" s="4"/>
      <c r="I291" s="9"/>
      <c r="J291" s="9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9"/>
      <c r="H292" s="4"/>
      <c r="I292" s="9"/>
      <c r="J292" s="9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9"/>
      <c r="H293" s="4"/>
      <c r="I293" s="9"/>
      <c r="J293" s="9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9"/>
      <c r="H294" s="4"/>
      <c r="I294" s="9"/>
      <c r="J294" s="9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9"/>
      <c r="H295" s="4"/>
      <c r="I295" s="9"/>
      <c r="J295" s="9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9"/>
      <c r="H296" s="4"/>
      <c r="I296" s="9"/>
      <c r="J296" s="9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9"/>
      <c r="H297" s="4"/>
      <c r="I297" s="9"/>
      <c r="J297" s="9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9"/>
      <c r="H298" s="4"/>
      <c r="I298" s="9"/>
      <c r="J298" s="9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9"/>
      <c r="H299" s="4"/>
      <c r="I299" s="9"/>
      <c r="J299" s="9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9"/>
      <c r="H300" s="4"/>
      <c r="I300" s="9"/>
      <c r="J300" s="9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9"/>
      <c r="H301" s="4"/>
      <c r="I301" s="9"/>
      <c r="J301" s="9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9"/>
      <c r="H302" s="4"/>
      <c r="I302" s="9"/>
      <c r="J302" s="9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9"/>
      <c r="H303" s="4"/>
      <c r="I303" s="9"/>
      <c r="J303" s="9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9"/>
      <c r="H304" s="4"/>
      <c r="I304" s="9"/>
      <c r="J304" s="9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9"/>
      <c r="H305" s="4"/>
      <c r="I305" s="9"/>
      <c r="J305" s="9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9"/>
      <c r="H306" s="4"/>
      <c r="I306" s="9"/>
      <c r="J306" s="9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9"/>
      <c r="H307" s="4"/>
      <c r="I307" s="9"/>
      <c r="J307" s="9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9"/>
      <c r="H308" s="4"/>
      <c r="I308" s="9"/>
      <c r="J308" s="9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9"/>
      <c r="H309" s="4"/>
      <c r="I309" s="9"/>
      <c r="J309" s="9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9"/>
      <c r="H310" s="4"/>
      <c r="I310" s="9"/>
      <c r="J310" s="9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9"/>
      <c r="H311" s="4"/>
      <c r="I311" s="9"/>
      <c r="J311" s="9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9"/>
      <c r="H312" s="4"/>
      <c r="I312" s="9"/>
      <c r="J312" s="9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9"/>
      <c r="H313" s="4"/>
      <c r="I313" s="9"/>
      <c r="J313" s="9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9"/>
      <c r="H314" s="4"/>
      <c r="I314" s="9"/>
      <c r="J314" s="9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9"/>
      <c r="H315" s="4"/>
      <c r="I315" s="9"/>
      <c r="J315" s="9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9"/>
      <c r="H316" s="4"/>
      <c r="I316" s="9"/>
      <c r="J316" s="9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9"/>
      <c r="H317" s="4"/>
      <c r="I317" s="9"/>
      <c r="J317" s="9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9"/>
      <c r="H318" s="4"/>
      <c r="I318" s="9"/>
      <c r="J318" s="9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9"/>
      <c r="H319" s="4"/>
      <c r="I319" s="9"/>
      <c r="J319" s="9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9"/>
      <c r="H320" s="4"/>
      <c r="I320" s="9"/>
      <c r="J320" s="9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9"/>
      <c r="H321" s="4"/>
      <c r="I321" s="9"/>
      <c r="J321" s="9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9"/>
      <c r="H322" s="4"/>
      <c r="I322" s="9"/>
      <c r="J322" s="9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9"/>
      <c r="H323" s="4"/>
      <c r="I323" s="9"/>
      <c r="J323" s="9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9"/>
      <c r="H324" s="4"/>
      <c r="I324" s="9"/>
      <c r="J324" s="9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9"/>
      <c r="H325" s="4"/>
      <c r="I325" s="9"/>
      <c r="J325" s="9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9"/>
      <c r="H326" s="4"/>
      <c r="I326" s="9"/>
      <c r="J326" s="9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9"/>
      <c r="H327" s="4"/>
      <c r="I327" s="9"/>
      <c r="J327" s="9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9"/>
      <c r="H328" s="4"/>
      <c r="I328" s="9"/>
      <c r="J328" s="9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9"/>
      <c r="H329" s="4"/>
      <c r="I329" s="9"/>
      <c r="J329" s="9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9"/>
      <c r="H330" s="4"/>
      <c r="I330" s="9"/>
      <c r="J330" s="9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9"/>
      <c r="H331" s="4"/>
      <c r="I331" s="9"/>
      <c r="J331" s="9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9"/>
      <c r="H332" s="4"/>
      <c r="I332" s="9"/>
      <c r="J332" s="9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9"/>
      <c r="H333" s="4"/>
      <c r="I333" s="9"/>
      <c r="J333" s="9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9"/>
      <c r="H334" s="4"/>
      <c r="I334" s="9"/>
      <c r="J334" s="9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9"/>
      <c r="H335" s="4"/>
      <c r="I335" s="9"/>
      <c r="J335" s="9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9"/>
      <c r="H336" s="4"/>
      <c r="I336" s="9"/>
      <c r="J336" s="9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9"/>
      <c r="H337" s="4"/>
      <c r="I337" s="9"/>
      <c r="J337" s="9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9"/>
      <c r="H338" s="4"/>
      <c r="I338" s="9"/>
      <c r="J338" s="9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9"/>
      <c r="H339" s="4"/>
      <c r="I339" s="9"/>
      <c r="J339" s="9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9"/>
      <c r="H340" s="4"/>
      <c r="I340" s="9"/>
      <c r="J340" s="9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9"/>
      <c r="H341" s="4"/>
      <c r="I341" s="9"/>
      <c r="J341" s="9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9"/>
      <c r="H342" s="4"/>
      <c r="I342" s="9"/>
      <c r="J342" s="9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9"/>
      <c r="H343" s="4"/>
      <c r="I343" s="9"/>
      <c r="J343" s="9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9"/>
      <c r="H344" s="4"/>
      <c r="I344" s="9"/>
      <c r="J344" s="9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9"/>
      <c r="H345" s="4"/>
      <c r="I345" s="9"/>
      <c r="J345" s="9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9"/>
      <c r="H346" s="4"/>
      <c r="I346" s="9"/>
      <c r="J346" s="9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9"/>
      <c r="H347" s="4"/>
      <c r="I347" s="9"/>
      <c r="J347" s="9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9"/>
      <c r="H348" s="4"/>
      <c r="I348" s="9"/>
      <c r="J348" s="9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9"/>
      <c r="H349" s="4"/>
      <c r="I349" s="9"/>
      <c r="J349" s="9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9"/>
      <c r="H350" s="4"/>
      <c r="I350" s="9"/>
      <c r="J350" s="9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9"/>
      <c r="H351" s="4"/>
      <c r="I351" s="9"/>
      <c r="J351" s="9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9"/>
      <c r="H352" s="4"/>
      <c r="I352" s="9"/>
      <c r="J352" s="9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9"/>
      <c r="H353" s="4"/>
      <c r="I353" s="9"/>
      <c r="J353" s="9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9"/>
      <c r="H354" s="4"/>
      <c r="I354" s="9"/>
      <c r="J354" s="9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9"/>
      <c r="H355" s="4"/>
      <c r="I355" s="9"/>
      <c r="J355" s="9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9"/>
      <c r="H356" s="4"/>
      <c r="I356" s="9"/>
      <c r="J356" s="9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9"/>
      <c r="H357" s="4"/>
      <c r="I357" s="9"/>
      <c r="J357" s="9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9"/>
      <c r="H358" s="4"/>
      <c r="I358" s="9"/>
      <c r="J358" s="9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9"/>
      <c r="H359" s="4"/>
      <c r="I359" s="9"/>
      <c r="J359" s="9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9"/>
      <c r="H360" s="4"/>
      <c r="I360" s="9"/>
      <c r="J360" s="9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9"/>
      <c r="H361" s="4"/>
      <c r="I361" s="9"/>
      <c r="J361" s="9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9"/>
      <c r="H362" s="4"/>
      <c r="I362" s="9"/>
      <c r="J362" s="9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9"/>
      <c r="H363" s="4"/>
      <c r="I363" s="9"/>
      <c r="J363" s="9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9"/>
      <c r="H364" s="4"/>
      <c r="I364" s="9"/>
      <c r="J364" s="9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9"/>
      <c r="H365" s="4"/>
      <c r="I365" s="9"/>
      <c r="J365" s="9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9"/>
      <c r="H366" s="4"/>
      <c r="I366" s="9"/>
      <c r="J366" s="9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9"/>
      <c r="H367" s="4"/>
      <c r="I367" s="9"/>
      <c r="J367" s="9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9"/>
      <c r="H368" s="4"/>
      <c r="I368" s="9"/>
      <c r="J368" s="9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9"/>
      <c r="H369" s="4"/>
      <c r="I369" s="9"/>
      <c r="J369" s="9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9"/>
      <c r="H370" s="4"/>
      <c r="I370" s="9"/>
      <c r="J370" s="9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9"/>
      <c r="H371" s="4"/>
      <c r="I371" s="9"/>
      <c r="J371" s="9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9"/>
      <c r="H372" s="4"/>
      <c r="I372" s="9"/>
      <c r="J372" s="9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9"/>
      <c r="H373" s="4"/>
      <c r="I373" s="9"/>
      <c r="J373" s="9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9"/>
      <c r="H374" s="4"/>
      <c r="I374" s="9"/>
      <c r="J374" s="9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9"/>
      <c r="H375" s="4"/>
      <c r="I375" s="9"/>
      <c r="J375" s="9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9"/>
      <c r="H376" s="4"/>
      <c r="I376" s="9"/>
      <c r="J376" s="9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9"/>
      <c r="H377" s="4"/>
      <c r="I377" s="9"/>
      <c r="J377" s="9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9"/>
      <c r="H378" s="4"/>
      <c r="I378" s="9"/>
      <c r="J378" s="9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9"/>
      <c r="H379" s="4"/>
      <c r="I379" s="9"/>
      <c r="J379" s="9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9"/>
      <c r="H380" s="4"/>
      <c r="I380" s="9"/>
      <c r="J380" s="9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9"/>
      <c r="H381" s="4"/>
      <c r="I381" s="9"/>
      <c r="J381" s="9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9"/>
      <c r="H382" s="4"/>
      <c r="I382" s="9"/>
      <c r="J382" s="9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9"/>
      <c r="H383" s="4"/>
      <c r="I383" s="9"/>
      <c r="J383" s="9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9"/>
      <c r="H384" s="4"/>
      <c r="I384" s="9"/>
      <c r="J384" s="9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9"/>
      <c r="H385" s="4"/>
      <c r="I385" s="9"/>
      <c r="J385" s="9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9"/>
      <c r="H386" s="4"/>
      <c r="I386" s="9"/>
      <c r="J386" s="9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9"/>
      <c r="H387" s="4"/>
      <c r="I387" s="9"/>
      <c r="J387" s="9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9"/>
      <c r="H388" s="4"/>
      <c r="I388" s="9"/>
      <c r="J388" s="9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9"/>
      <c r="H389" s="4"/>
      <c r="I389" s="9"/>
      <c r="J389" s="9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9"/>
      <c r="H390" s="4"/>
      <c r="I390" s="9"/>
      <c r="J390" s="9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9"/>
      <c r="H391" s="4"/>
      <c r="I391" s="9"/>
      <c r="J391" s="9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9"/>
      <c r="H392" s="4"/>
      <c r="I392" s="9"/>
      <c r="J392" s="9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9"/>
      <c r="H393" s="4"/>
      <c r="I393" s="9"/>
      <c r="J393" s="9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9"/>
      <c r="H394" s="4"/>
      <c r="I394" s="9"/>
      <c r="J394" s="9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9"/>
      <c r="H395" s="4"/>
      <c r="I395" s="9"/>
      <c r="J395" s="9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9"/>
      <c r="H396" s="4"/>
      <c r="I396" s="9"/>
      <c r="J396" s="9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9"/>
      <c r="H397" s="4"/>
      <c r="I397" s="9"/>
      <c r="J397" s="9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9"/>
      <c r="H398" s="4"/>
      <c r="I398" s="9"/>
      <c r="J398" s="9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9"/>
      <c r="H399" s="4"/>
      <c r="I399" s="9"/>
      <c r="J399" s="9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9"/>
      <c r="H400" s="4"/>
      <c r="I400" s="9"/>
      <c r="J400" s="9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9"/>
      <c r="H401" s="4"/>
      <c r="I401" s="9"/>
      <c r="J401" s="9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9"/>
      <c r="H402" s="4"/>
      <c r="I402" s="9"/>
      <c r="J402" s="9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9"/>
      <c r="H403" s="4"/>
      <c r="I403" s="9"/>
      <c r="J403" s="9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9"/>
      <c r="H404" s="4"/>
      <c r="I404" s="9"/>
      <c r="J404" s="9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9"/>
      <c r="H405" s="4"/>
      <c r="I405" s="9"/>
      <c r="J405" s="9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9"/>
      <c r="H406" s="4"/>
      <c r="I406" s="9"/>
      <c r="J406" s="9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9"/>
      <c r="H407" s="4"/>
      <c r="I407" s="9"/>
      <c r="J407" s="9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9"/>
      <c r="H408" s="4"/>
      <c r="I408" s="9"/>
      <c r="J408" s="9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9"/>
      <c r="H409" s="4"/>
      <c r="I409" s="9"/>
      <c r="J409" s="9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9"/>
      <c r="H410" s="4"/>
      <c r="I410" s="9"/>
      <c r="J410" s="9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9"/>
      <c r="H411" s="4"/>
      <c r="I411" s="9"/>
      <c r="J411" s="9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9"/>
      <c r="H412" s="4"/>
      <c r="I412" s="9"/>
      <c r="J412" s="9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9"/>
      <c r="H413" s="4"/>
      <c r="I413" s="9"/>
      <c r="J413" s="9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9"/>
      <c r="H414" s="4"/>
      <c r="I414" s="9"/>
      <c r="J414" s="9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9"/>
      <c r="H415" s="4"/>
      <c r="I415" s="9"/>
      <c r="J415" s="9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9"/>
      <c r="H416" s="4"/>
      <c r="I416" s="9"/>
      <c r="J416" s="9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9"/>
      <c r="H417" s="4"/>
      <c r="I417" s="9"/>
      <c r="J417" s="9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9"/>
      <c r="H418" s="4"/>
      <c r="I418" s="9"/>
      <c r="J418" s="9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9"/>
      <c r="H419" s="4"/>
      <c r="I419" s="9"/>
      <c r="J419" s="9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9"/>
      <c r="H420" s="4"/>
      <c r="I420" s="9"/>
      <c r="J420" s="9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9"/>
      <c r="H421" s="4"/>
      <c r="I421" s="9"/>
      <c r="J421" s="9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9"/>
      <c r="H422" s="4"/>
      <c r="I422" s="9"/>
      <c r="J422" s="9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9"/>
      <c r="H423" s="4"/>
      <c r="I423" s="9"/>
      <c r="J423" s="9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9"/>
      <c r="H424" s="4"/>
      <c r="I424" s="9"/>
      <c r="J424" s="9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9"/>
      <c r="H425" s="4"/>
      <c r="I425" s="9"/>
      <c r="J425" s="9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9"/>
      <c r="H426" s="4"/>
      <c r="I426" s="9"/>
      <c r="J426" s="9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9"/>
      <c r="H427" s="4"/>
      <c r="I427" s="9"/>
      <c r="J427" s="9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9"/>
      <c r="H428" s="4"/>
      <c r="I428" s="9"/>
      <c r="J428" s="9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9"/>
      <c r="H429" s="4"/>
      <c r="I429" s="9"/>
      <c r="J429" s="9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9"/>
      <c r="H430" s="4"/>
      <c r="I430" s="9"/>
      <c r="J430" s="9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9"/>
      <c r="H431" s="4"/>
      <c r="I431" s="9"/>
      <c r="J431" s="9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9"/>
      <c r="H432" s="4"/>
      <c r="I432" s="9"/>
      <c r="J432" s="9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9"/>
      <c r="H433" s="4"/>
      <c r="I433" s="9"/>
      <c r="J433" s="9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9"/>
      <c r="H434" s="4"/>
      <c r="I434" s="9"/>
      <c r="J434" s="9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9"/>
      <c r="H435" s="4"/>
      <c r="I435" s="9"/>
      <c r="J435" s="9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9"/>
      <c r="H436" s="4"/>
      <c r="I436" s="9"/>
      <c r="J436" s="9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9"/>
      <c r="H437" s="4"/>
      <c r="I437" s="9"/>
      <c r="J437" s="9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9"/>
      <c r="H438" s="4"/>
      <c r="I438" s="9"/>
      <c r="J438" s="9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9"/>
      <c r="H439" s="4"/>
      <c r="I439" s="9"/>
      <c r="J439" s="9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9"/>
      <c r="H440" s="4"/>
      <c r="I440" s="9"/>
      <c r="J440" s="9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9"/>
      <c r="H441" s="4"/>
      <c r="I441" s="9"/>
      <c r="J441" s="9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9"/>
      <c r="H442" s="4"/>
      <c r="I442" s="9"/>
      <c r="J442" s="9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9"/>
      <c r="H443" s="4"/>
      <c r="I443" s="9"/>
      <c r="J443" s="9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9"/>
      <c r="H444" s="4"/>
      <c r="I444" s="9"/>
      <c r="J444" s="9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9"/>
      <c r="H445" s="4"/>
      <c r="I445" s="9"/>
      <c r="J445" s="9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9"/>
      <c r="H446" s="4"/>
      <c r="I446" s="9"/>
      <c r="J446" s="9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9"/>
      <c r="H447" s="4"/>
      <c r="I447" s="9"/>
      <c r="J447" s="9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9"/>
      <c r="H448" s="4"/>
      <c r="I448" s="9"/>
      <c r="J448" s="9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9"/>
      <c r="H449" s="4"/>
      <c r="I449" s="9"/>
      <c r="J449" s="9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9"/>
      <c r="H450" s="4"/>
      <c r="I450" s="9"/>
      <c r="J450" s="9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9"/>
      <c r="H451" s="4"/>
      <c r="I451" s="9"/>
      <c r="J451" s="9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9"/>
      <c r="H452" s="4"/>
      <c r="I452" s="9"/>
      <c r="J452" s="9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9"/>
      <c r="H453" s="4"/>
      <c r="I453" s="9"/>
      <c r="J453" s="9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9"/>
      <c r="H454" s="4"/>
      <c r="I454" s="9"/>
      <c r="J454" s="9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9"/>
      <c r="H455" s="4"/>
      <c r="I455" s="9"/>
      <c r="J455" s="9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9"/>
      <c r="H456" s="4"/>
      <c r="I456" s="9"/>
      <c r="J456" s="9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9"/>
      <c r="H457" s="4"/>
      <c r="I457" s="9"/>
      <c r="J457" s="9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9"/>
      <c r="H458" s="4"/>
      <c r="I458" s="9"/>
      <c r="J458" s="9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9"/>
      <c r="H459" s="4"/>
      <c r="I459" s="9"/>
      <c r="J459" s="9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9"/>
      <c r="H460" s="4"/>
      <c r="I460" s="9"/>
      <c r="J460" s="9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9"/>
      <c r="H461" s="4"/>
      <c r="I461" s="9"/>
      <c r="J461" s="9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9"/>
      <c r="H462" s="4"/>
      <c r="I462" s="9"/>
      <c r="J462" s="9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9"/>
      <c r="H463" s="4"/>
      <c r="I463" s="9"/>
      <c r="J463" s="9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9"/>
      <c r="H464" s="4"/>
      <c r="I464" s="9"/>
      <c r="J464" s="9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9"/>
      <c r="H465" s="4"/>
      <c r="I465" s="9"/>
      <c r="J465" s="9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9"/>
      <c r="H466" s="4"/>
      <c r="I466" s="9"/>
      <c r="J466" s="9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9"/>
      <c r="H467" s="4"/>
      <c r="I467" s="9"/>
      <c r="J467" s="9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9"/>
      <c r="H468" s="4"/>
      <c r="I468" s="9"/>
      <c r="J468" s="9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9"/>
      <c r="H469" s="4"/>
      <c r="I469" s="9"/>
      <c r="J469" s="9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9"/>
      <c r="H470" s="4"/>
      <c r="I470" s="9"/>
      <c r="J470" s="9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9"/>
      <c r="H471" s="4"/>
      <c r="I471" s="9"/>
      <c r="J471" s="9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9"/>
      <c r="H472" s="4"/>
      <c r="I472" s="9"/>
      <c r="J472" s="9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9"/>
      <c r="H473" s="4"/>
      <c r="I473" s="9"/>
      <c r="J473" s="9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9"/>
      <c r="H474" s="4"/>
      <c r="I474" s="9"/>
      <c r="J474" s="9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9"/>
      <c r="H475" s="4"/>
      <c r="I475" s="9"/>
      <c r="J475" s="9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9"/>
      <c r="H476" s="4"/>
      <c r="I476" s="9"/>
      <c r="J476" s="9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9"/>
      <c r="H477" s="4"/>
      <c r="I477" s="9"/>
      <c r="J477" s="9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9"/>
      <c r="H478" s="4"/>
      <c r="I478" s="9"/>
      <c r="J478" s="9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9"/>
      <c r="H479" s="4"/>
      <c r="I479" s="9"/>
      <c r="J479" s="9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9"/>
      <c r="H480" s="4"/>
      <c r="I480" s="9"/>
      <c r="J480" s="9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9"/>
      <c r="H481" s="4"/>
      <c r="I481" s="9"/>
      <c r="J481" s="9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9"/>
      <c r="H482" s="4"/>
      <c r="I482" s="9"/>
      <c r="J482" s="9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9"/>
      <c r="H483" s="4"/>
      <c r="I483" s="9"/>
      <c r="J483" s="9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9"/>
      <c r="H484" s="4"/>
      <c r="I484" s="9"/>
      <c r="J484" s="9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9"/>
      <c r="H485" s="4"/>
      <c r="I485" s="9"/>
      <c r="J485" s="9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9"/>
      <c r="H486" s="4"/>
      <c r="I486" s="9"/>
      <c r="J486" s="9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9"/>
      <c r="H487" s="4"/>
      <c r="I487" s="9"/>
      <c r="J487" s="9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9"/>
      <c r="H488" s="4"/>
      <c r="I488" s="9"/>
      <c r="J488" s="9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9"/>
      <c r="H489" s="4"/>
      <c r="I489" s="9"/>
      <c r="J489" s="9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9"/>
      <c r="H490" s="4"/>
      <c r="I490" s="9"/>
      <c r="J490" s="9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9"/>
      <c r="H491" s="4"/>
      <c r="I491" s="9"/>
      <c r="J491" s="9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9"/>
      <c r="H492" s="4"/>
      <c r="I492" s="9"/>
      <c r="J492" s="9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9"/>
      <c r="H493" s="4"/>
      <c r="I493" s="9"/>
      <c r="J493" s="9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9"/>
      <c r="H494" s="4"/>
      <c r="I494" s="9"/>
      <c r="J494" s="9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9"/>
      <c r="H495" s="4"/>
      <c r="I495" s="9"/>
      <c r="J495" s="9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9"/>
      <c r="H496" s="4"/>
      <c r="I496" s="9"/>
      <c r="J496" s="9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9"/>
      <c r="H497" s="4"/>
      <c r="I497" s="9"/>
      <c r="J497" s="9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9"/>
      <c r="H498" s="4"/>
      <c r="I498" s="9"/>
      <c r="J498" s="9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9"/>
      <c r="H499" s="4"/>
      <c r="I499" s="9"/>
      <c r="J499" s="9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9"/>
      <c r="H500" s="4"/>
      <c r="I500" s="9"/>
      <c r="J500" s="9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9"/>
      <c r="H501" s="4"/>
      <c r="I501" s="9"/>
      <c r="J501" s="9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9"/>
      <c r="H502" s="4"/>
      <c r="I502" s="9"/>
      <c r="J502" s="9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9"/>
      <c r="H503" s="4"/>
      <c r="I503" s="9"/>
      <c r="J503" s="9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9"/>
      <c r="H504" s="4"/>
      <c r="I504" s="9"/>
      <c r="J504" s="9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9"/>
      <c r="H505" s="4"/>
      <c r="I505" s="9"/>
      <c r="J505" s="9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9"/>
      <c r="H506" s="4"/>
      <c r="I506" s="9"/>
      <c r="J506" s="9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9"/>
      <c r="H507" s="4"/>
      <c r="I507" s="9"/>
      <c r="J507" s="9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9"/>
      <c r="H508" s="4"/>
      <c r="I508" s="9"/>
      <c r="J508" s="9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9"/>
      <c r="H509" s="4"/>
      <c r="I509" s="9"/>
      <c r="J509" s="9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9"/>
      <c r="H510" s="4"/>
      <c r="I510" s="9"/>
      <c r="J510" s="9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9"/>
      <c r="H511" s="4"/>
      <c r="I511" s="9"/>
      <c r="J511" s="9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9"/>
      <c r="H512" s="4"/>
      <c r="I512" s="9"/>
      <c r="J512" s="9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9"/>
      <c r="H513" s="4"/>
      <c r="I513" s="9"/>
      <c r="J513" s="9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9"/>
      <c r="H514" s="4"/>
      <c r="I514" s="9"/>
      <c r="J514" s="9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9"/>
      <c r="H515" s="4"/>
      <c r="I515" s="9"/>
      <c r="J515" s="9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9"/>
      <c r="H516" s="4"/>
      <c r="I516" s="9"/>
      <c r="J516" s="9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9"/>
      <c r="H517" s="4"/>
      <c r="I517" s="9"/>
      <c r="J517" s="9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9"/>
      <c r="H518" s="4"/>
      <c r="I518" s="9"/>
      <c r="J518" s="9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9"/>
      <c r="H519" s="4"/>
      <c r="I519" s="9"/>
      <c r="J519" s="9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9"/>
      <c r="H520" s="4"/>
      <c r="I520" s="9"/>
      <c r="J520" s="9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9"/>
      <c r="H521" s="4"/>
      <c r="I521" s="9"/>
      <c r="J521" s="9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9"/>
      <c r="H522" s="4"/>
      <c r="I522" s="9"/>
      <c r="J522" s="9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9"/>
      <c r="H523" s="4"/>
      <c r="I523" s="9"/>
      <c r="J523" s="9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9"/>
      <c r="H524" s="4"/>
      <c r="I524" s="9"/>
      <c r="J524" s="9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9"/>
      <c r="H525" s="4"/>
      <c r="I525" s="9"/>
      <c r="J525" s="9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9"/>
      <c r="H526" s="4"/>
      <c r="I526" s="9"/>
      <c r="J526" s="9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9"/>
      <c r="H527" s="4"/>
      <c r="I527" s="9"/>
      <c r="J527" s="9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9"/>
      <c r="H528" s="4"/>
      <c r="I528" s="9"/>
      <c r="J528" s="9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9"/>
      <c r="H529" s="4"/>
      <c r="I529" s="9"/>
      <c r="J529" s="9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9"/>
      <c r="H530" s="4"/>
      <c r="I530" s="9"/>
      <c r="J530" s="9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9"/>
      <c r="H531" s="4"/>
      <c r="I531" s="9"/>
      <c r="J531" s="9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9"/>
      <c r="H532" s="4"/>
      <c r="I532" s="9"/>
      <c r="J532" s="9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9"/>
      <c r="H533" s="4"/>
      <c r="I533" s="9"/>
      <c r="J533" s="9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9"/>
      <c r="H534" s="4"/>
      <c r="I534" s="9"/>
      <c r="J534" s="9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9"/>
      <c r="H535" s="4"/>
      <c r="I535" s="9"/>
      <c r="J535" s="9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9"/>
      <c r="H536" s="4"/>
      <c r="I536" s="9"/>
      <c r="J536" s="9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9"/>
      <c r="H537" s="4"/>
      <c r="I537" s="9"/>
      <c r="J537" s="9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9"/>
      <c r="H538" s="4"/>
      <c r="I538" s="9"/>
      <c r="J538" s="9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9"/>
      <c r="H539" s="4"/>
      <c r="I539" s="9"/>
      <c r="J539" s="9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9"/>
      <c r="H540" s="4"/>
      <c r="I540" s="9"/>
      <c r="J540" s="9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9"/>
      <c r="H541" s="4"/>
      <c r="I541" s="9"/>
      <c r="J541" s="9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9"/>
      <c r="H542" s="4"/>
      <c r="I542" s="9"/>
      <c r="J542" s="9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9"/>
      <c r="H543" s="4"/>
      <c r="I543" s="9"/>
      <c r="J543" s="9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9"/>
      <c r="H544" s="4"/>
      <c r="I544" s="9"/>
      <c r="J544" s="9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9"/>
      <c r="H545" s="4"/>
      <c r="I545" s="9"/>
      <c r="J545" s="9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9"/>
      <c r="H546" s="4"/>
      <c r="I546" s="9"/>
      <c r="J546" s="9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9"/>
      <c r="H547" s="4"/>
      <c r="I547" s="9"/>
      <c r="J547" s="9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9"/>
      <c r="H548" s="4"/>
      <c r="I548" s="9"/>
      <c r="J548" s="9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9"/>
      <c r="H549" s="4"/>
      <c r="I549" s="9"/>
      <c r="J549" s="9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9"/>
      <c r="H550" s="4"/>
      <c r="I550" s="9"/>
      <c r="J550" s="9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9"/>
      <c r="H551" s="4"/>
      <c r="I551" s="9"/>
      <c r="J551" s="9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9"/>
      <c r="H552" s="4"/>
      <c r="I552" s="9"/>
      <c r="J552" s="9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9"/>
      <c r="H553" s="4"/>
      <c r="I553" s="9"/>
      <c r="J553" s="9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9"/>
      <c r="H554" s="4"/>
      <c r="I554" s="9"/>
      <c r="J554" s="9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9"/>
      <c r="H555" s="4"/>
      <c r="I555" s="9"/>
      <c r="J555" s="9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9"/>
      <c r="H556" s="4"/>
      <c r="I556" s="9"/>
      <c r="J556" s="9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9"/>
      <c r="H557" s="4"/>
      <c r="I557" s="9"/>
      <c r="J557" s="9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9"/>
      <c r="H558" s="4"/>
      <c r="I558" s="9"/>
      <c r="J558" s="9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9"/>
      <c r="H559" s="4"/>
      <c r="I559" s="9"/>
      <c r="J559" s="9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9"/>
      <c r="H560" s="4"/>
      <c r="I560" s="9"/>
      <c r="J560" s="9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9"/>
      <c r="H561" s="4"/>
      <c r="I561" s="9"/>
      <c r="J561" s="9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9"/>
      <c r="H562" s="4"/>
      <c r="I562" s="9"/>
      <c r="J562" s="9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9"/>
      <c r="H563" s="4"/>
      <c r="I563" s="9"/>
      <c r="J563" s="9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9"/>
      <c r="H564" s="4"/>
      <c r="I564" s="9"/>
      <c r="J564" s="9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9"/>
      <c r="H565" s="4"/>
      <c r="I565" s="9"/>
      <c r="J565" s="9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9"/>
      <c r="H566" s="4"/>
      <c r="I566" s="9"/>
      <c r="J566" s="9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9"/>
      <c r="H567" s="4"/>
      <c r="I567" s="9"/>
      <c r="J567" s="9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9"/>
      <c r="H568" s="4"/>
      <c r="I568" s="9"/>
      <c r="J568" s="9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9"/>
      <c r="H569" s="4"/>
      <c r="I569" s="9"/>
      <c r="J569" s="9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9"/>
      <c r="H570" s="4"/>
      <c r="I570" s="9"/>
      <c r="J570" s="9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9"/>
      <c r="H571" s="4"/>
      <c r="I571" s="9"/>
      <c r="J571" s="9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9"/>
      <c r="H572" s="4"/>
      <c r="I572" s="9"/>
      <c r="J572" s="9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9"/>
      <c r="H573" s="4"/>
      <c r="I573" s="9"/>
      <c r="J573" s="9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9"/>
      <c r="H574" s="4"/>
      <c r="I574" s="9"/>
      <c r="J574" s="9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9"/>
      <c r="H575" s="4"/>
      <c r="I575" s="9"/>
      <c r="J575" s="9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9"/>
      <c r="H576" s="4"/>
      <c r="I576" s="9"/>
      <c r="J576" s="9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9"/>
      <c r="H577" s="4"/>
      <c r="I577" s="9"/>
      <c r="J577" s="9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9"/>
      <c r="H578" s="4"/>
      <c r="I578" s="9"/>
      <c r="J578" s="9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9"/>
      <c r="H579" s="4"/>
      <c r="I579" s="9"/>
      <c r="J579" s="9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9"/>
      <c r="H580" s="4"/>
      <c r="I580" s="9"/>
      <c r="J580" s="9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9"/>
      <c r="H581" s="4"/>
      <c r="I581" s="9"/>
      <c r="J581" s="9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9"/>
      <c r="H582" s="4"/>
      <c r="I582" s="9"/>
      <c r="J582" s="9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9"/>
      <c r="H583" s="4"/>
      <c r="I583" s="9"/>
      <c r="J583" s="9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9"/>
      <c r="H584" s="4"/>
      <c r="I584" s="9"/>
      <c r="J584" s="9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9"/>
      <c r="H585" s="4"/>
      <c r="I585" s="9"/>
      <c r="J585" s="9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9"/>
      <c r="H586" s="4"/>
      <c r="I586" s="9"/>
      <c r="J586" s="9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9"/>
      <c r="H587" s="4"/>
      <c r="I587" s="9"/>
      <c r="J587" s="9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9"/>
      <c r="H588" s="4"/>
      <c r="I588" s="9"/>
      <c r="J588" s="9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9"/>
      <c r="H589" s="4"/>
      <c r="I589" s="9"/>
      <c r="J589" s="9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9"/>
      <c r="H590" s="4"/>
      <c r="I590" s="9"/>
      <c r="J590" s="9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9"/>
      <c r="H591" s="4"/>
      <c r="I591" s="9"/>
      <c r="J591" s="9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9"/>
      <c r="H592" s="4"/>
      <c r="I592" s="9"/>
      <c r="J592" s="9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9"/>
      <c r="H593" s="4"/>
      <c r="I593" s="9"/>
      <c r="J593" s="9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9"/>
      <c r="H594" s="4"/>
      <c r="I594" s="9"/>
      <c r="J594" s="9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9"/>
      <c r="H595" s="4"/>
      <c r="I595" s="9"/>
      <c r="J595" s="9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9"/>
      <c r="H596" s="4"/>
      <c r="I596" s="9"/>
      <c r="J596" s="9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9"/>
      <c r="H597" s="4"/>
      <c r="I597" s="9"/>
      <c r="J597" s="9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9"/>
      <c r="H598" s="4"/>
      <c r="I598" s="9"/>
      <c r="J598" s="9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9"/>
      <c r="H599" s="4"/>
      <c r="I599" s="9"/>
      <c r="J599" s="9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9"/>
      <c r="H600" s="4"/>
      <c r="I600" s="9"/>
      <c r="J600" s="9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9"/>
      <c r="H601" s="4"/>
      <c r="I601" s="9"/>
      <c r="J601" s="9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9"/>
      <c r="H602" s="4"/>
      <c r="I602" s="9"/>
      <c r="J602" s="9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9"/>
      <c r="H603" s="4"/>
      <c r="I603" s="9"/>
      <c r="J603" s="9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9"/>
      <c r="H604" s="4"/>
      <c r="I604" s="9"/>
      <c r="J604" s="9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9"/>
      <c r="H605" s="4"/>
      <c r="I605" s="9"/>
      <c r="J605" s="9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9"/>
      <c r="H606" s="4"/>
      <c r="I606" s="9"/>
      <c r="J606" s="9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9"/>
      <c r="H607" s="4"/>
      <c r="I607" s="9"/>
      <c r="J607" s="9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9"/>
      <c r="H608" s="4"/>
      <c r="I608" s="9"/>
      <c r="J608" s="9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9"/>
      <c r="H609" s="4"/>
      <c r="I609" s="9"/>
      <c r="J609" s="9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9"/>
      <c r="H610" s="4"/>
      <c r="I610" s="9"/>
      <c r="J610" s="9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9"/>
      <c r="H611" s="4"/>
      <c r="I611" s="9"/>
      <c r="J611" s="9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9"/>
      <c r="H612" s="4"/>
      <c r="I612" s="9"/>
      <c r="J612" s="9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9"/>
      <c r="H613" s="4"/>
      <c r="I613" s="9"/>
      <c r="J613" s="9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9"/>
      <c r="H614" s="4"/>
      <c r="I614" s="9"/>
      <c r="J614" s="9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9"/>
      <c r="H615" s="4"/>
      <c r="I615" s="9"/>
      <c r="J615" s="9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9"/>
      <c r="H616" s="4"/>
      <c r="I616" s="9"/>
      <c r="J616" s="9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9"/>
      <c r="H617" s="4"/>
      <c r="I617" s="9"/>
      <c r="J617" s="9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9"/>
      <c r="H618" s="4"/>
      <c r="I618" s="9"/>
      <c r="J618" s="9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9"/>
      <c r="H619" s="4"/>
      <c r="I619" s="9"/>
      <c r="J619" s="9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9"/>
      <c r="H620" s="4"/>
      <c r="I620" s="9"/>
      <c r="J620" s="9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9"/>
      <c r="H621" s="4"/>
      <c r="I621" s="9"/>
      <c r="J621" s="9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9"/>
      <c r="H622" s="4"/>
      <c r="I622" s="9"/>
      <c r="J622" s="9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9"/>
      <c r="H623" s="4"/>
      <c r="I623" s="9"/>
      <c r="J623" s="9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9"/>
      <c r="H624" s="4"/>
      <c r="I624" s="9"/>
      <c r="J624" s="9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9"/>
      <c r="H625" s="4"/>
      <c r="I625" s="9"/>
      <c r="J625" s="9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9"/>
      <c r="H626" s="4"/>
      <c r="I626" s="9"/>
      <c r="J626" s="9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9"/>
      <c r="H627" s="4"/>
      <c r="I627" s="9"/>
      <c r="J627" s="9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9"/>
      <c r="H628" s="4"/>
      <c r="I628" s="9"/>
      <c r="J628" s="9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9"/>
      <c r="H629" s="4"/>
      <c r="I629" s="9"/>
      <c r="J629" s="9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9"/>
      <c r="H630" s="4"/>
      <c r="I630" s="9"/>
      <c r="J630" s="9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9"/>
      <c r="H631" s="4"/>
      <c r="I631" s="9"/>
      <c r="J631" s="9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9"/>
      <c r="H632" s="4"/>
      <c r="I632" s="9"/>
      <c r="J632" s="9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9"/>
      <c r="H633" s="4"/>
      <c r="I633" s="9"/>
      <c r="J633" s="9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9"/>
      <c r="H634" s="4"/>
      <c r="I634" s="9"/>
      <c r="J634" s="9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9"/>
      <c r="H635" s="4"/>
      <c r="I635" s="9"/>
      <c r="J635" s="9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9"/>
      <c r="H636" s="4"/>
      <c r="I636" s="9"/>
      <c r="J636" s="9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9"/>
      <c r="H637" s="4"/>
      <c r="I637" s="9"/>
      <c r="J637" s="9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9"/>
      <c r="H638" s="4"/>
      <c r="I638" s="9"/>
      <c r="J638" s="9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9"/>
      <c r="H639" s="4"/>
      <c r="I639" s="9"/>
      <c r="J639" s="9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9"/>
      <c r="H640" s="4"/>
      <c r="I640" s="9"/>
      <c r="J640" s="9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9"/>
      <c r="H641" s="4"/>
      <c r="I641" s="9"/>
      <c r="J641" s="9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9"/>
      <c r="H642" s="4"/>
      <c r="I642" s="9"/>
      <c r="J642" s="9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9"/>
      <c r="H643" s="4"/>
      <c r="I643" s="9"/>
      <c r="J643" s="9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9"/>
      <c r="H644" s="4"/>
      <c r="I644" s="9"/>
      <c r="J644" s="9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9"/>
      <c r="H645" s="4"/>
      <c r="I645" s="9"/>
      <c r="J645" s="9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9"/>
      <c r="H646" s="4"/>
      <c r="I646" s="9"/>
      <c r="J646" s="9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9"/>
      <c r="H647" s="4"/>
      <c r="I647" s="9"/>
      <c r="J647" s="9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9"/>
      <c r="H648" s="4"/>
      <c r="I648" s="9"/>
      <c r="J648" s="9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9"/>
      <c r="H649" s="4"/>
      <c r="I649" s="9"/>
      <c r="J649" s="9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9"/>
      <c r="H650" s="4"/>
      <c r="I650" s="9"/>
      <c r="J650" s="9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9"/>
      <c r="H651" s="4"/>
      <c r="I651" s="9"/>
      <c r="J651" s="9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9"/>
      <c r="H652" s="4"/>
      <c r="I652" s="9"/>
      <c r="J652" s="9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9"/>
      <c r="H653" s="4"/>
      <c r="I653" s="9"/>
      <c r="J653" s="9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9"/>
      <c r="H654" s="4"/>
      <c r="I654" s="9"/>
      <c r="J654" s="9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9"/>
      <c r="H655" s="4"/>
      <c r="I655" s="9"/>
      <c r="J655" s="9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9"/>
      <c r="H656" s="4"/>
      <c r="I656" s="9"/>
      <c r="J656" s="9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9"/>
      <c r="H657" s="4"/>
      <c r="I657" s="9"/>
      <c r="J657" s="9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9"/>
      <c r="H658" s="4"/>
      <c r="I658" s="9"/>
      <c r="J658" s="9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9"/>
      <c r="H659" s="4"/>
      <c r="I659" s="9"/>
      <c r="J659" s="9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9"/>
      <c r="H660" s="4"/>
      <c r="I660" s="9"/>
      <c r="J660" s="9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9"/>
      <c r="H661" s="4"/>
      <c r="I661" s="9"/>
      <c r="J661" s="9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9"/>
      <c r="H662" s="4"/>
      <c r="I662" s="9"/>
      <c r="J662" s="9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9"/>
      <c r="H663" s="4"/>
      <c r="I663" s="9"/>
      <c r="J663" s="9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9"/>
      <c r="H664" s="4"/>
      <c r="I664" s="9"/>
      <c r="J664" s="9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9"/>
      <c r="H665" s="4"/>
      <c r="I665" s="9"/>
      <c r="J665" s="9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9"/>
      <c r="H666" s="4"/>
      <c r="I666" s="9"/>
      <c r="J666" s="9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9"/>
      <c r="H667" s="4"/>
      <c r="I667" s="9"/>
      <c r="J667" s="9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9"/>
      <c r="H668" s="4"/>
      <c r="I668" s="9"/>
      <c r="J668" s="9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9"/>
      <c r="H669" s="4"/>
      <c r="I669" s="9"/>
      <c r="J669" s="9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9"/>
      <c r="H670" s="4"/>
      <c r="I670" s="9"/>
      <c r="J670" s="9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9"/>
      <c r="H671" s="4"/>
      <c r="I671" s="9"/>
      <c r="J671" s="9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9"/>
      <c r="H672" s="4"/>
      <c r="I672" s="9"/>
      <c r="J672" s="9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9"/>
      <c r="H673" s="4"/>
      <c r="I673" s="9"/>
      <c r="J673" s="9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9"/>
      <c r="H674" s="4"/>
      <c r="I674" s="9"/>
      <c r="J674" s="9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9"/>
      <c r="H675" s="4"/>
      <c r="I675" s="9"/>
      <c r="J675" s="9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9"/>
      <c r="H676" s="4"/>
      <c r="I676" s="9"/>
      <c r="J676" s="9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9"/>
      <c r="H677" s="4"/>
      <c r="I677" s="9"/>
      <c r="J677" s="9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9"/>
      <c r="H678" s="4"/>
      <c r="I678" s="9"/>
      <c r="J678" s="9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9"/>
      <c r="H679" s="4"/>
      <c r="I679" s="9"/>
      <c r="J679" s="9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9"/>
      <c r="H680" s="4"/>
      <c r="I680" s="9"/>
      <c r="J680" s="9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9"/>
      <c r="H681" s="4"/>
      <c r="I681" s="9"/>
      <c r="J681" s="9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9"/>
      <c r="H682" s="4"/>
      <c r="I682" s="9"/>
      <c r="J682" s="9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9"/>
      <c r="H683" s="4"/>
      <c r="I683" s="9"/>
      <c r="J683" s="9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9"/>
      <c r="H684" s="4"/>
      <c r="I684" s="9"/>
      <c r="J684" s="9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9"/>
      <c r="H685" s="4"/>
      <c r="I685" s="9"/>
      <c r="J685" s="9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9"/>
      <c r="H686" s="4"/>
      <c r="I686" s="9"/>
      <c r="J686" s="9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9"/>
      <c r="H687" s="4"/>
      <c r="I687" s="9"/>
      <c r="J687" s="9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9"/>
      <c r="H688" s="4"/>
      <c r="I688" s="9"/>
      <c r="J688" s="9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9"/>
      <c r="H689" s="4"/>
      <c r="I689" s="9"/>
      <c r="J689" s="9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9"/>
      <c r="H690" s="4"/>
      <c r="I690" s="9"/>
      <c r="J690" s="9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9"/>
      <c r="H691" s="4"/>
      <c r="I691" s="9"/>
      <c r="J691" s="9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9"/>
      <c r="H692" s="4"/>
      <c r="I692" s="9"/>
      <c r="J692" s="9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9"/>
      <c r="H693" s="4"/>
      <c r="I693" s="9"/>
      <c r="J693" s="9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9"/>
      <c r="H694" s="4"/>
      <c r="I694" s="9"/>
      <c r="J694" s="9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9"/>
      <c r="H695" s="4"/>
      <c r="I695" s="9"/>
      <c r="J695" s="9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9"/>
      <c r="H696" s="4"/>
      <c r="I696" s="9"/>
      <c r="J696" s="9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9"/>
      <c r="H697" s="4"/>
      <c r="I697" s="9"/>
      <c r="J697" s="9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9"/>
      <c r="H698" s="4"/>
      <c r="I698" s="9"/>
      <c r="J698" s="9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9"/>
      <c r="H699" s="4"/>
      <c r="I699" s="9"/>
      <c r="J699" s="9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9"/>
      <c r="H700" s="4"/>
      <c r="I700" s="9"/>
      <c r="J700" s="9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9"/>
      <c r="H701" s="4"/>
      <c r="I701" s="9"/>
      <c r="J701" s="9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9"/>
      <c r="H702" s="4"/>
      <c r="I702" s="9"/>
      <c r="J702" s="9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9"/>
      <c r="H703" s="4"/>
      <c r="I703" s="9"/>
      <c r="J703" s="9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9"/>
      <c r="H704" s="4"/>
      <c r="I704" s="9"/>
      <c r="J704" s="9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9"/>
      <c r="H705" s="4"/>
      <c r="I705" s="9"/>
      <c r="J705" s="9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9"/>
      <c r="H706" s="4"/>
      <c r="I706" s="9"/>
      <c r="J706" s="9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9"/>
      <c r="H707" s="4"/>
      <c r="I707" s="9"/>
      <c r="J707" s="9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9"/>
      <c r="H708" s="4"/>
      <c r="I708" s="9"/>
      <c r="J708" s="9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9"/>
      <c r="H709" s="4"/>
      <c r="I709" s="9"/>
      <c r="J709" s="9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9"/>
      <c r="H710" s="4"/>
      <c r="I710" s="9"/>
      <c r="J710" s="9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9"/>
      <c r="H711" s="4"/>
      <c r="I711" s="9"/>
      <c r="J711" s="9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9"/>
      <c r="H712" s="4"/>
      <c r="I712" s="9"/>
      <c r="J712" s="9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9"/>
      <c r="H713" s="4"/>
      <c r="I713" s="9"/>
      <c r="J713" s="9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9"/>
      <c r="H714" s="4"/>
      <c r="I714" s="9"/>
      <c r="J714" s="9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9"/>
      <c r="H715" s="4"/>
      <c r="I715" s="9"/>
      <c r="J715" s="9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9"/>
      <c r="H716" s="4"/>
      <c r="I716" s="9"/>
      <c r="J716" s="9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9"/>
      <c r="H717" s="4"/>
      <c r="I717" s="9"/>
      <c r="J717" s="9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9"/>
      <c r="H718" s="4"/>
      <c r="I718" s="9"/>
      <c r="J718" s="9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9"/>
      <c r="H719" s="4"/>
      <c r="I719" s="9"/>
      <c r="J719" s="9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9"/>
      <c r="H720" s="4"/>
      <c r="I720" s="9"/>
      <c r="J720" s="9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9"/>
      <c r="H721" s="4"/>
      <c r="I721" s="9"/>
      <c r="J721" s="9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9"/>
      <c r="H722" s="4"/>
      <c r="I722" s="9"/>
      <c r="J722" s="9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9"/>
      <c r="H723" s="4"/>
      <c r="I723" s="9"/>
      <c r="J723" s="9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9"/>
      <c r="H724" s="4"/>
      <c r="I724" s="9"/>
      <c r="J724" s="9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9"/>
      <c r="H725" s="4"/>
      <c r="I725" s="9"/>
      <c r="J725" s="9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9"/>
      <c r="H726" s="4"/>
      <c r="I726" s="9"/>
      <c r="J726" s="9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9"/>
      <c r="H727" s="4"/>
      <c r="I727" s="9"/>
      <c r="J727" s="9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9"/>
      <c r="H728" s="4"/>
      <c r="I728" s="9"/>
      <c r="J728" s="9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9"/>
      <c r="H729" s="4"/>
      <c r="I729" s="9"/>
      <c r="J729" s="9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9"/>
      <c r="H730" s="4"/>
      <c r="I730" s="9"/>
      <c r="J730" s="9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9"/>
      <c r="H731" s="4"/>
      <c r="I731" s="9"/>
      <c r="J731" s="9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9"/>
      <c r="H732" s="4"/>
      <c r="I732" s="9"/>
      <c r="J732" s="9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9"/>
      <c r="H733" s="4"/>
      <c r="I733" s="9"/>
      <c r="J733" s="9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9"/>
      <c r="H734" s="4"/>
      <c r="I734" s="9"/>
      <c r="J734" s="9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9"/>
      <c r="H735" s="4"/>
      <c r="I735" s="9"/>
      <c r="J735" s="9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9"/>
      <c r="H736" s="4"/>
      <c r="I736" s="9"/>
      <c r="J736" s="9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9"/>
      <c r="H737" s="4"/>
      <c r="I737" s="9"/>
      <c r="J737" s="9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9"/>
      <c r="H738" s="4"/>
      <c r="I738" s="9"/>
      <c r="J738" s="9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9"/>
      <c r="H739" s="4"/>
      <c r="I739" s="9"/>
      <c r="J739" s="9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9"/>
      <c r="H740" s="4"/>
      <c r="I740" s="9"/>
      <c r="J740" s="9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9"/>
      <c r="H741" s="4"/>
      <c r="I741" s="9"/>
      <c r="J741" s="9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9"/>
      <c r="H742" s="4"/>
      <c r="I742" s="9"/>
      <c r="J742" s="9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9"/>
      <c r="H743" s="4"/>
      <c r="I743" s="9"/>
      <c r="J743" s="9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9"/>
      <c r="H744" s="4"/>
      <c r="I744" s="9"/>
      <c r="J744" s="9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9"/>
      <c r="H745" s="4"/>
      <c r="I745" s="9"/>
      <c r="J745" s="9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9"/>
      <c r="H746" s="4"/>
      <c r="I746" s="9"/>
      <c r="J746" s="9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9"/>
      <c r="H747" s="4"/>
      <c r="I747" s="9"/>
      <c r="J747" s="9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9"/>
      <c r="H748" s="4"/>
      <c r="I748" s="9"/>
      <c r="J748" s="9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9"/>
      <c r="H749" s="4"/>
      <c r="I749" s="9"/>
      <c r="J749" s="9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9"/>
      <c r="H750" s="4"/>
      <c r="I750" s="9"/>
      <c r="J750" s="9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9"/>
      <c r="H751" s="4"/>
      <c r="I751" s="9"/>
      <c r="J751" s="9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9"/>
      <c r="H752" s="4"/>
      <c r="I752" s="9"/>
      <c r="J752" s="9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9"/>
      <c r="H753" s="4"/>
      <c r="I753" s="9"/>
      <c r="J753" s="9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9"/>
      <c r="H754" s="4"/>
      <c r="I754" s="9"/>
      <c r="J754" s="9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9"/>
      <c r="H755" s="4"/>
      <c r="I755" s="9"/>
      <c r="J755" s="9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9"/>
      <c r="H756" s="4"/>
      <c r="I756" s="9"/>
      <c r="J756" s="9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9"/>
      <c r="H757" s="4"/>
      <c r="I757" s="9"/>
      <c r="J757" s="9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9"/>
      <c r="H758" s="4"/>
      <c r="I758" s="9"/>
      <c r="J758" s="9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9"/>
      <c r="H759" s="4"/>
      <c r="I759" s="9"/>
      <c r="J759" s="9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9"/>
      <c r="H760" s="4"/>
      <c r="I760" s="9"/>
      <c r="J760" s="9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9"/>
      <c r="H761" s="4"/>
      <c r="I761" s="9"/>
      <c r="J761" s="9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9"/>
      <c r="H762" s="4"/>
      <c r="I762" s="9"/>
      <c r="J762" s="9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9"/>
      <c r="H763" s="4"/>
      <c r="I763" s="9"/>
      <c r="J763" s="9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9"/>
      <c r="H764" s="4"/>
      <c r="I764" s="9"/>
      <c r="J764" s="9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9"/>
      <c r="H765" s="4"/>
      <c r="I765" s="9"/>
      <c r="J765" s="9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9"/>
      <c r="H766" s="4"/>
      <c r="I766" s="9"/>
      <c r="J766" s="9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9"/>
      <c r="H767" s="4"/>
      <c r="I767" s="9"/>
      <c r="J767" s="9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9"/>
      <c r="H768" s="4"/>
      <c r="I768" s="9"/>
      <c r="J768" s="9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9"/>
      <c r="H769" s="4"/>
      <c r="I769" s="9"/>
      <c r="J769" s="9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9"/>
      <c r="H770" s="4"/>
      <c r="I770" s="9"/>
      <c r="J770" s="9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9"/>
      <c r="H771" s="4"/>
      <c r="I771" s="9"/>
      <c r="J771" s="9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9"/>
      <c r="H772" s="4"/>
      <c r="I772" s="9"/>
      <c r="J772" s="9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9"/>
      <c r="H773" s="4"/>
      <c r="I773" s="9"/>
      <c r="J773" s="9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9"/>
      <c r="H774" s="4"/>
      <c r="I774" s="9"/>
      <c r="J774" s="9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9"/>
      <c r="H775" s="4"/>
      <c r="I775" s="9"/>
      <c r="J775" s="9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9"/>
      <c r="H776" s="4"/>
      <c r="I776" s="9"/>
      <c r="J776" s="9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9"/>
      <c r="H777" s="4"/>
      <c r="I777" s="9"/>
      <c r="J777" s="9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9"/>
      <c r="H778" s="4"/>
      <c r="I778" s="9"/>
      <c r="J778" s="9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9"/>
      <c r="H779" s="4"/>
      <c r="I779" s="9"/>
      <c r="J779" s="9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9"/>
      <c r="H780" s="4"/>
      <c r="I780" s="9"/>
      <c r="J780" s="9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9"/>
      <c r="H781" s="4"/>
      <c r="I781" s="9"/>
      <c r="J781" s="9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9"/>
      <c r="H782" s="4"/>
      <c r="I782" s="9"/>
      <c r="J782" s="9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9"/>
      <c r="H783" s="4"/>
      <c r="I783" s="9"/>
      <c r="J783" s="9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9"/>
      <c r="H784" s="4"/>
      <c r="I784" s="9"/>
      <c r="J784" s="9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9"/>
      <c r="H785" s="4"/>
      <c r="I785" s="9"/>
      <c r="J785" s="9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9"/>
      <c r="H786" s="4"/>
      <c r="I786" s="9"/>
      <c r="J786" s="9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9"/>
      <c r="H787" s="4"/>
      <c r="I787" s="9"/>
      <c r="J787" s="9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9"/>
      <c r="H788" s="4"/>
      <c r="I788" s="9"/>
      <c r="J788" s="9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9"/>
      <c r="H789" s="4"/>
      <c r="I789" s="9"/>
      <c r="J789" s="9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9"/>
      <c r="H790" s="4"/>
      <c r="I790" s="9"/>
      <c r="J790" s="9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9"/>
      <c r="H791" s="4"/>
      <c r="I791" s="9"/>
      <c r="J791" s="9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9"/>
      <c r="H792" s="4"/>
      <c r="I792" s="9"/>
      <c r="J792" s="9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9"/>
      <c r="H793" s="4"/>
      <c r="I793" s="9"/>
      <c r="J793" s="9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9"/>
      <c r="H794" s="4"/>
      <c r="I794" s="9"/>
      <c r="J794" s="9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9"/>
      <c r="H795" s="4"/>
      <c r="I795" s="9"/>
      <c r="J795" s="9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9"/>
      <c r="H796" s="4"/>
      <c r="I796" s="9"/>
      <c r="J796" s="9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9"/>
      <c r="H797" s="4"/>
      <c r="I797" s="9"/>
      <c r="J797" s="9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9"/>
      <c r="H798" s="4"/>
      <c r="I798" s="9"/>
      <c r="J798" s="9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9"/>
      <c r="H799" s="4"/>
      <c r="I799" s="9"/>
      <c r="J799" s="9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9"/>
      <c r="H800" s="4"/>
      <c r="I800" s="9"/>
      <c r="J800" s="9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9"/>
      <c r="H801" s="4"/>
      <c r="I801" s="9"/>
      <c r="J801" s="9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9"/>
      <c r="H802" s="4"/>
      <c r="I802" s="9"/>
      <c r="J802" s="9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9"/>
      <c r="H803" s="4"/>
      <c r="I803" s="9"/>
      <c r="J803" s="9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9"/>
      <c r="H804" s="4"/>
      <c r="I804" s="9"/>
      <c r="J804" s="9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9"/>
      <c r="H805" s="4"/>
      <c r="I805" s="9"/>
      <c r="J805" s="9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9"/>
      <c r="H806" s="4"/>
      <c r="I806" s="9"/>
      <c r="J806" s="9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9"/>
      <c r="H807" s="4"/>
      <c r="I807" s="9"/>
      <c r="J807" s="9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9"/>
      <c r="H808" s="4"/>
      <c r="I808" s="9"/>
      <c r="J808" s="9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9"/>
      <c r="H809" s="4"/>
      <c r="I809" s="9"/>
      <c r="J809" s="9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9"/>
      <c r="H810" s="4"/>
      <c r="I810" s="9"/>
      <c r="J810" s="9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9"/>
      <c r="H811" s="4"/>
      <c r="I811" s="9"/>
      <c r="J811" s="9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9"/>
      <c r="H812" s="4"/>
      <c r="I812" s="9"/>
      <c r="J812" s="9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9"/>
      <c r="H813" s="4"/>
      <c r="I813" s="9"/>
      <c r="J813" s="9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9"/>
      <c r="H814" s="4"/>
      <c r="I814" s="9"/>
      <c r="J814" s="9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9"/>
      <c r="H815" s="4"/>
      <c r="I815" s="9"/>
      <c r="J815" s="9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9"/>
      <c r="H816" s="4"/>
      <c r="I816" s="9"/>
      <c r="J816" s="9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9"/>
      <c r="H817" s="4"/>
      <c r="I817" s="9"/>
      <c r="J817" s="9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9"/>
      <c r="H818" s="4"/>
      <c r="I818" s="9"/>
      <c r="J818" s="9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9"/>
      <c r="H819" s="4"/>
      <c r="I819" s="9"/>
      <c r="J819" s="9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9"/>
      <c r="H820" s="4"/>
      <c r="I820" s="9"/>
      <c r="J820" s="9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9"/>
      <c r="H821" s="4"/>
      <c r="I821" s="9"/>
      <c r="J821" s="9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9"/>
      <c r="H822" s="4"/>
      <c r="I822" s="9"/>
      <c r="J822" s="9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9"/>
      <c r="H823" s="4"/>
      <c r="I823" s="9"/>
      <c r="J823" s="9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9"/>
      <c r="H824" s="4"/>
      <c r="I824" s="9"/>
      <c r="J824" s="9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9"/>
      <c r="H825" s="4"/>
      <c r="I825" s="9"/>
      <c r="J825" s="9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9"/>
      <c r="H826" s="4"/>
      <c r="I826" s="9"/>
      <c r="J826" s="9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9"/>
      <c r="H827" s="4"/>
      <c r="I827" s="9"/>
      <c r="J827" s="9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9"/>
      <c r="H828" s="4"/>
      <c r="I828" s="9"/>
      <c r="J828" s="9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9"/>
      <c r="H829" s="4"/>
      <c r="I829" s="9"/>
      <c r="J829" s="9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9"/>
      <c r="H830" s="4"/>
      <c r="I830" s="9"/>
      <c r="J830" s="9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9"/>
      <c r="H831" s="4"/>
      <c r="I831" s="9"/>
      <c r="J831" s="9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9"/>
      <c r="H832" s="4"/>
      <c r="I832" s="9"/>
      <c r="J832" s="9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9"/>
      <c r="H833" s="4"/>
      <c r="I833" s="9"/>
      <c r="J833" s="9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9"/>
      <c r="H834" s="4"/>
      <c r="I834" s="9"/>
      <c r="J834" s="9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9"/>
      <c r="H835" s="4"/>
      <c r="I835" s="9"/>
      <c r="J835" s="9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9"/>
      <c r="H836" s="4"/>
      <c r="I836" s="9"/>
      <c r="J836" s="9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9"/>
      <c r="H837" s="4"/>
      <c r="I837" s="9"/>
      <c r="J837" s="9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9"/>
      <c r="H838" s="4"/>
      <c r="I838" s="9"/>
      <c r="J838" s="9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9"/>
      <c r="H839" s="4"/>
      <c r="I839" s="9"/>
      <c r="J839" s="9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9"/>
      <c r="H840" s="4"/>
      <c r="I840" s="9"/>
      <c r="J840" s="9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9"/>
      <c r="H841" s="4"/>
      <c r="I841" s="9"/>
      <c r="J841" s="9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9"/>
      <c r="H842" s="4"/>
      <c r="I842" s="9"/>
      <c r="J842" s="9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9"/>
      <c r="H843" s="4"/>
      <c r="I843" s="9"/>
      <c r="J843" s="9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9"/>
      <c r="H844" s="4"/>
      <c r="I844" s="9"/>
      <c r="J844" s="9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9"/>
      <c r="H845" s="4"/>
      <c r="I845" s="9"/>
      <c r="J845" s="9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9"/>
      <c r="H846" s="4"/>
      <c r="I846" s="9"/>
      <c r="J846" s="9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9"/>
      <c r="H847" s="4"/>
      <c r="I847" s="9"/>
      <c r="J847" s="9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9"/>
      <c r="H848" s="4"/>
      <c r="I848" s="9"/>
      <c r="J848" s="9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9"/>
      <c r="H849" s="4"/>
      <c r="I849" s="9"/>
      <c r="J849" s="9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9"/>
      <c r="H850" s="4"/>
      <c r="I850" s="9"/>
      <c r="J850" s="9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9"/>
      <c r="H851" s="4"/>
      <c r="I851" s="9"/>
      <c r="J851" s="9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9"/>
      <c r="H852" s="4"/>
      <c r="I852" s="9"/>
      <c r="J852" s="9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9"/>
      <c r="H853" s="4"/>
      <c r="I853" s="9"/>
      <c r="J853" s="9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9"/>
      <c r="H854" s="4"/>
      <c r="I854" s="9"/>
      <c r="J854" s="9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9"/>
      <c r="H855" s="4"/>
      <c r="I855" s="9"/>
      <c r="J855" s="9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9"/>
      <c r="H856" s="4"/>
      <c r="I856" s="9"/>
      <c r="J856" s="9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9"/>
      <c r="H857" s="4"/>
      <c r="I857" s="9"/>
      <c r="J857" s="9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9"/>
      <c r="H858" s="4"/>
      <c r="I858" s="9"/>
      <c r="J858" s="9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9"/>
      <c r="H859" s="4"/>
      <c r="I859" s="9"/>
      <c r="J859" s="9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9"/>
      <c r="H860" s="4"/>
      <c r="I860" s="9"/>
      <c r="J860" s="9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9"/>
      <c r="H861" s="4"/>
      <c r="I861" s="9"/>
      <c r="J861" s="9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9"/>
      <c r="H862" s="4"/>
      <c r="I862" s="9"/>
      <c r="J862" s="9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9"/>
      <c r="H863" s="4"/>
      <c r="I863" s="9"/>
      <c r="J863" s="9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9"/>
      <c r="H864" s="4"/>
      <c r="I864" s="9"/>
      <c r="J864" s="9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9"/>
      <c r="H865" s="4"/>
      <c r="I865" s="9"/>
      <c r="J865" s="9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9"/>
      <c r="H866" s="4"/>
      <c r="I866" s="9"/>
      <c r="J866" s="9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9"/>
      <c r="H867" s="4"/>
      <c r="I867" s="9"/>
      <c r="J867" s="9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9"/>
      <c r="H868" s="4"/>
      <c r="I868" s="9"/>
      <c r="J868" s="9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9"/>
      <c r="H869" s="4"/>
      <c r="I869" s="9"/>
      <c r="J869" s="9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9"/>
      <c r="H870" s="4"/>
      <c r="I870" s="9"/>
      <c r="J870" s="9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9"/>
      <c r="H871" s="4"/>
      <c r="I871" s="9"/>
      <c r="J871" s="9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9"/>
      <c r="H872" s="4"/>
      <c r="I872" s="9"/>
      <c r="J872" s="9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9"/>
      <c r="H873" s="4"/>
      <c r="I873" s="9"/>
      <c r="J873" s="9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9"/>
      <c r="H874" s="4"/>
      <c r="I874" s="9"/>
      <c r="J874" s="9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9"/>
      <c r="H875" s="4"/>
      <c r="I875" s="9"/>
      <c r="J875" s="9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9"/>
      <c r="H876" s="4"/>
      <c r="I876" s="9"/>
      <c r="J876" s="9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9"/>
      <c r="H877" s="4"/>
      <c r="I877" s="9"/>
      <c r="J877" s="9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9"/>
      <c r="H878" s="4"/>
      <c r="I878" s="9"/>
      <c r="J878" s="9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9"/>
      <c r="H879" s="4"/>
      <c r="I879" s="9"/>
      <c r="J879" s="9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9"/>
      <c r="H880" s="4"/>
      <c r="I880" s="9"/>
      <c r="J880" s="9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9"/>
      <c r="H881" s="4"/>
      <c r="I881" s="9"/>
      <c r="J881" s="9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9"/>
      <c r="H882" s="4"/>
      <c r="I882" s="9"/>
      <c r="J882" s="9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9"/>
      <c r="H883" s="4"/>
      <c r="I883" s="9"/>
      <c r="J883" s="9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9"/>
      <c r="H884" s="4"/>
      <c r="I884" s="9"/>
      <c r="J884" s="9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9"/>
      <c r="H885" s="4"/>
      <c r="I885" s="9"/>
      <c r="J885" s="9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9"/>
      <c r="H886" s="4"/>
      <c r="I886" s="9"/>
      <c r="J886" s="9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9"/>
      <c r="H887" s="4"/>
      <c r="I887" s="9"/>
      <c r="J887" s="9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9"/>
      <c r="H888" s="4"/>
      <c r="I888" s="9"/>
      <c r="J888" s="9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9"/>
      <c r="H889" s="4"/>
      <c r="I889" s="9"/>
      <c r="J889" s="9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9"/>
      <c r="H890" s="4"/>
      <c r="I890" s="9"/>
      <c r="J890" s="9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9"/>
      <c r="H891" s="4"/>
      <c r="I891" s="9"/>
      <c r="J891" s="9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9"/>
      <c r="H892" s="4"/>
      <c r="I892" s="9"/>
      <c r="J892" s="9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9"/>
      <c r="H893" s="4"/>
      <c r="I893" s="9"/>
      <c r="J893" s="9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9"/>
      <c r="H894" s="4"/>
      <c r="I894" s="9"/>
      <c r="J894" s="9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9"/>
      <c r="H895" s="4"/>
      <c r="I895" s="9"/>
      <c r="J895" s="9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9"/>
      <c r="H896" s="4"/>
      <c r="I896" s="9"/>
      <c r="J896" s="9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9"/>
      <c r="H897" s="4"/>
      <c r="I897" s="9"/>
      <c r="J897" s="9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9"/>
      <c r="H898" s="4"/>
      <c r="I898" s="9"/>
      <c r="J898" s="9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9"/>
      <c r="H899" s="4"/>
      <c r="I899" s="9"/>
      <c r="J899" s="9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9"/>
      <c r="H900" s="4"/>
      <c r="I900" s="9"/>
      <c r="J900" s="9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9"/>
      <c r="H901" s="4"/>
      <c r="I901" s="9"/>
      <c r="J901" s="9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9"/>
      <c r="H902" s="4"/>
      <c r="I902" s="9"/>
      <c r="J902" s="9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9"/>
      <c r="H903" s="4"/>
      <c r="I903" s="9"/>
      <c r="J903" s="9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9"/>
      <c r="H904" s="4"/>
      <c r="I904" s="9"/>
      <c r="J904" s="9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9"/>
      <c r="H905" s="4"/>
      <c r="I905" s="9"/>
      <c r="J905" s="9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9"/>
      <c r="H906" s="4"/>
      <c r="I906" s="9"/>
      <c r="J906" s="9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9"/>
      <c r="H907" s="4"/>
      <c r="I907" s="9"/>
      <c r="J907" s="9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9"/>
      <c r="H908" s="4"/>
      <c r="I908" s="9"/>
      <c r="J908" s="9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9"/>
      <c r="H909" s="4"/>
      <c r="I909" s="9"/>
      <c r="J909" s="9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9"/>
      <c r="H910" s="4"/>
      <c r="I910" s="9"/>
      <c r="J910" s="9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9"/>
      <c r="H911" s="4"/>
      <c r="I911" s="9"/>
      <c r="J911" s="9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9"/>
      <c r="H912" s="4"/>
      <c r="I912" s="9"/>
      <c r="J912" s="9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9"/>
      <c r="H913" s="4"/>
      <c r="I913" s="9"/>
      <c r="J913" s="9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9"/>
      <c r="H914" s="4"/>
      <c r="I914" s="9"/>
      <c r="J914" s="9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9"/>
      <c r="H915" s="4"/>
      <c r="I915" s="9"/>
      <c r="J915" s="9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9"/>
      <c r="H916" s="4"/>
      <c r="I916" s="9"/>
      <c r="J916" s="9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9"/>
      <c r="H917" s="4"/>
      <c r="I917" s="9"/>
      <c r="J917" s="9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9"/>
      <c r="H918" s="4"/>
      <c r="I918" s="9"/>
      <c r="J918" s="9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9"/>
      <c r="H919" s="4"/>
      <c r="I919" s="9"/>
      <c r="J919" s="9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9"/>
      <c r="H920" s="4"/>
      <c r="I920" s="9"/>
      <c r="J920" s="9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9"/>
      <c r="H921" s="4"/>
      <c r="I921" s="9"/>
      <c r="J921" s="9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9"/>
      <c r="H922" s="4"/>
      <c r="I922" s="9"/>
      <c r="J922" s="9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9"/>
      <c r="H923" s="4"/>
      <c r="I923" s="9"/>
      <c r="J923" s="9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9"/>
      <c r="H924" s="4"/>
      <c r="I924" s="9"/>
      <c r="J924" s="9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9"/>
      <c r="H925" s="4"/>
      <c r="I925" s="9"/>
      <c r="J925" s="9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9"/>
      <c r="H926" s="4"/>
      <c r="I926" s="9"/>
      <c r="J926" s="9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9"/>
      <c r="H927" s="4"/>
      <c r="I927" s="9"/>
      <c r="J927" s="9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9"/>
      <c r="H928" s="4"/>
      <c r="I928" s="9"/>
      <c r="J928" s="9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9"/>
      <c r="H929" s="4"/>
      <c r="I929" s="9"/>
      <c r="J929" s="9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9"/>
      <c r="H930" s="4"/>
      <c r="I930" s="9"/>
      <c r="J930" s="9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9"/>
      <c r="H931" s="4"/>
      <c r="I931" s="9"/>
      <c r="J931" s="9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9"/>
      <c r="H932" s="4"/>
      <c r="I932" s="9"/>
      <c r="J932" s="9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9"/>
      <c r="H933" s="4"/>
      <c r="I933" s="9"/>
      <c r="J933" s="9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9"/>
      <c r="H934" s="4"/>
      <c r="I934" s="9"/>
      <c r="J934" s="9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9"/>
      <c r="H935" s="4"/>
      <c r="I935" s="9"/>
      <c r="J935" s="9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9"/>
      <c r="H936" s="4"/>
      <c r="I936" s="9"/>
      <c r="J936" s="9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9"/>
      <c r="H937" s="4"/>
      <c r="I937" s="9"/>
      <c r="J937" s="9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9"/>
      <c r="H938" s="4"/>
      <c r="I938" s="9"/>
      <c r="J938" s="9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9"/>
      <c r="H939" s="4"/>
      <c r="I939" s="9"/>
      <c r="J939" s="9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9"/>
      <c r="H940" s="4"/>
      <c r="I940" s="9"/>
      <c r="J940" s="9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9"/>
      <c r="H941" s="4"/>
      <c r="I941" s="9"/>
      <c r="J941" s="9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9"/>
      <c r="H942" s="4"/>
      <c r="I942" s="9"/>
      <c r="J942" s="9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9"/>
      <c r="H943" s="4"/>
      <c r="I943" s="9"/>
      <c r="J943" s="9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9"/>
      <c r="H944" s="4"/>
      <c r="I944" s="9"/>
      <c r="J944" s="9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9"/>
      <c r="H945" s="4"/>
      <c r="I945" s="9"/>
      <c r="J945" s="9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9"/>
      <c r="H946" s="4"/>
      <c r="I946" s="9"/>
      <c r="J946" s="9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9"/>
      <c r="H947" s="4"/>
      <c r="I947" s="9"/>
      <c r="J947" s="9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9"/>
      <c r="H948" s="4"/>
      <c r="I948" s="9"/>
      <c r="J948" s="9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9"/>
      <c r="H949" s="4"/>
      <c r="I949" s="9"/>
      <c r="J949" s="9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9"/>
      <c r="H950" s="4"/>
      <c r="I950" s="9"/>
      <c r="J950" s="9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9"/>
      <c r="H951" s="4"/>
      <c r="I951" s="9"/>
      <c r="J951" s="9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9"/>
      <c r="H952" s="4"/>
      <c r="I952" s="9"/>
      <c r="J952" s="9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9"/>
      <c r="H953" s="4"/>
      <c r="I953" s="9"/>
      <c r="J953" s="9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9"/>
      <c r="H954" s="4"/>
      <c r="I954" s="9"/>
      <c r="J954" s="9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9"/>
      <c r="H955" s="4"/>
      <c r="I955" s="9"/>
      <c r="J955" s="9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9"/>
      <c r="H956" s="4"/>
      <c r="I956" s="9"/>
      <c r="J956" s="9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9"/>
      <c r="H957" s="4"/>
      <c r="I957" s="9"/>
      <c r="J957" s="9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9"/>
      <c r="H958" s="4"/>
      <c r="I958" s="9"/>
      <c r="J958" s="9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9"/>
      <c r="H959" s="4"/>
      <c r="I959" s="9"/>
      <c r="J959" s="9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9"/>
      <c r="H960" s="4"/>
      <c r="I960" s="9"/>
      <c r="J960" s="9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9"/>
      <c r="H961" s="4"/>
      <c r="I961" s="9"/>
      <c r="J961" s="9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9"/>
      <c r="H962" s="4"/>
      <c r="I962" s="9"/>
      <c r="J962" s="9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9"/>
      <c r="H963" s="4"/>
      <c r="I963" s="9"/>
      <c r="J963" s="9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9"/>
      <c r="H964" s="4"/>
      <c r="I964" s="9"/>
      <c r="J964" s="9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9"/>
      <c r="H965" s="4"/>
      <c r="I965" s="9"/>
      <c r="J965" s="9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9"/>
      <c r="H966" s="4"/>
      <c r="I966" s="9"/>
      <c r="J966" s="9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9"/>
      <c r="H967" s="4"/>
      <c r="I967" s="9"/>
      <c r="J967" s="9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9"/>
      <c r="H968" s="4"/>
      <c r="I968" s="9"/>
      <c r="J968" s="9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9"/>
      <c r="H969" s="4"/>
      <c r="I969" s="9"/>
      <c r="J969" s="9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9"/>
      <c r="H970" s="4"/>
      <c r="I970" s="9"/>
      <c r="J970" s="9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9"/>
      <c r="H971" s="4"/>
      <c r="I971" s="9"/>
      <c r="J971" s="9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9"/>
      <c r="H972" s="4"/>
      <c r="I972" s="9"/>
      <c r="J972" s="9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9"/>
      <c r="H973" s="4"/>
      <c r="I973" s="9"/>
      <c r="J973" s="9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9"/>
      <c r="H974" s="4"/>
      <c r="I974" s="9"/>
      <c r="J974" s="9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9"/>
      <c r="H975" s="4"/>
      <c r="I975" s="9"/>
      <c r="J975" s="9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9"/>
      <c r="H976" s="4"/>
      <c r="I976" s="9"/>
      <c r="J976" s="9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9"/>
      <c r="H977" s="4"/>
      <c r="I977" s="9"/>
      <c r="J977" s="9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9"/>
      <c r="H978" s="4"/>
      <c r="I978" s="9"/>
      <c r="J978" s="9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9"/>
      <c r="H979" s="4"/>
      <c r="I979" s="9"/>
      <c r="J979" s="9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9"/>
      <c r="H980" s="4"/>
      <c r="I980" s="9"/>
      <c r="J980" s="9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9"/>
      <c r="H981" s="4"/>
      <c r="I981" s="9"/>
      <c r="J981" s="9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9"/>
      <c r="H982" s="4"/>
      <c r="I982" s="9"/>
      <c r="J982" s="9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9"/>
      <c r="H983" s="4"/>
      <c r="I983" s="9"/>
      <c r="J983" s="9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9"/>
      <c r="H984" s="4"/>
      <c r="I984" s="9"/>
      <c r="J984" s="9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9"/>
      <c r="H985" s="4"/>
      <c r="I985" s="9"/>
      <c r="J985" s="9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9"/>
      <c r="H986" s="4"/>
      <c r="I986" s="9"/>
      <c r="J986" s="9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9"/>
      <c r="H987" s="4"/>
      <c r="I987" s="9"/>
      <c r="J987" s="9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9"/>
      <c r="H988" s="4"/>
      <c r="I988" s="9"/>
      <c r="J988" s="9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9"/>
      <c r="H989" s="4"/>
      <c r="I989" s="9"/>
      <c r="J989" s="9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9"/>
      <c r="H990" s="4"/>
      <c r="I990" s="9"/>
      <c r="J990" s="9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9"/>
      <c r="H991" s="4"/>
      <c r="I991" s="9"/>
      <c r="J991" s="9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9"/>
      <c r="H992" s="4"/>
      <c r="I992" s="9"/>
      <c r="J992" s="9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9"/>
      <c r="H993" s="4"/>
      <c r="I993" s="9"/>
      <c r="J993" s="9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9"/>
      <c r="H994" s="4"/>
      <c r="I994" s="9"/>
      <c r="J994" s="9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9"/>
      <c r="H995" s="4"/>
      <c r="I995" s="9"/>
      <c r="J995" s="9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1">
    <mergeCell ref="A1:Y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7.75"/>
  </cols>
  <sheetData>
    <row r="1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5"/>
      <c r="B2" s="40">
        <v>105.0</v>
      </c>
      <c r="C2" s="40">
        <v>106.0</v>
      </c>
      <c r="D2" s="40">
        <v>107.0</v>
      </c>
      <c r="E2" s="40">
        <v>201.0</v>
      </c>
      <c r="F2" s="40">
        <v>202.0</v>
      </c>
      <c r="G2" s="40">
        <v>203.0</v>
      </c>
      <c r="H2" s="40">
        <v>204.0</v>
      </c>
      <c r="I2" s="40">
        <v>205.0</v>
      </c>
      <c r="J2" s="40">
        <v>206.0</v>
      </c>
      <c r="K2" s="40">
        <v>207.0</v>
      </c>
      <c r="L2" s="40">
        <v>301.0</v>
      </c>
      <c r="M2" s="40">
        <v>302.0</v>
      </c>
      <c r="N2" s="40">
        <v>303.0</v>
      </c>
      <c r="O2" s="40">
        <v>304.0</v>
      </c>
      <c r="P2" s="40">
        <v>305.0</v>
      </c>
      <c r="Q2" s="40">
        <v>306.0</v>
      </c>
      <c r="R2" s="40">
        <v>307.0</v>
      </c>
      <c r="S2" s="40">
        <v>401.0</v>
      </c>
      <c r="T2" s="40">
        <v>402.0</v>
      </c>
      <c r="U2" s="40">
        <v>403.0</v>
      </c>
      <c r="V2" s="40">
        <v>404.0</v>
      </c>
      <c r="W2" s="40">
        <v>405.0</v>
      </c>
      <c r="X2" s="40">
        <v>406.0</v>
      </c>
      <c r="Y2" s="40">
        <v>407.0</v>
      </c>
    </row>
    <row r="3">
      <c r="A3" s="41">
        <v>46113.0</v>
      </c>
      <c r="C3" s="68">
        <v>155824.0</v>
      </c>
      <c r="D3" s="10">
        <v>315295.0</v>
      </c>
      <c r="E3" s="68">
        <v>155000.0</v>
      </c>
      <c r="F3" s="10">
        <v>173680.0</v>
      </c>
      <c r="G3" s="10">
        <v>145250.0</v>
      </c>
      <c r="H3" s="10">
        <v>298510.0</v>
      </c>
      <c r="I3" s="46">
        <v>315005.0</v>
      </c>
      <c r="J3" s="10">
        <v>687301.0</v>
      </c>
      <c r="K3" s="10">
        <v>298510.0</v>
      </c>
      <c r="L3" s="46">
        <v>180000.0</v>
      </c>
      <c r="M3" s="10">
        <v>530448.0</v>
      </c>
      <c r="P3" s="10">
        <v>266860.0</v>
      </c>
      <c r="R3" s="10">
        <v>303172.0</v>
      </c>
      <c r="S3" s="10">
        <v>173680.0</v>
      </c>
      <c r="T3" s="10">
        <v>339308.0</v>
      </c>
      <c r="U3" s="10">
        <v>163060.0</v>
      </c>
      <c r="V3" s="10">
        <v>149255.0</v>
      </c>
      <c r="W3" s="10">
        <v>347600.0</v>
      </c>
      <c r="X3" s="10">
        <v>347600.0</v>
      </c>
      <c r="Y3" s="10">
        <v>283966.0</v>
      </c>
    </row>
    <row r="4">
      <c r="A4" s="41">
        <v>46114.0</v>
      </c>
      <c r="B4" s="46">
        <v>332683.0</v>
      </c>
      <c r="C4" s="10">
        <v>381788.0</v>
      </c>
      <c r="D4" s="10"/>
      <c r="E4" s="68">
        <v>155000.0</v>
      </c>
      <c r="F4" s="10">
        <v>516180.0</v>
      </c>
      <c r="G4" s="10">
        <v>324978.0</v>
      </c>
      <c r="H4" s="10"/>
      <c r="I4" s="46"/>
      <c r="J4" s="10"/>
      <c r="K4" s="10"/>
      <c r="L4" s="10">
        <v>413396.0</v>
      </c>
      <c r="M4" s="10"/>
      <c r="N4" s="10">
        <v>163060.0</v>
      </c>
      <c r="O4" s="10">
        <v>163060.0</v>
      </c>
      <c r="P4" s="10"/>
      <c r="Q4" s="10">
        <v>381788.0</v>
      </c>
      <c r="R4" s="10"/>
      <c r="S4" s="10">
        <v>190628.0</v>
      </c>
      <c r="T4" s="10"/>
      <c r="U4" s="10">
        <v>471881.0</v>
      </c>
      <c r="V4" s="10">
        <v>315874.0</v>
      </c>
      <c r="W4" s="10"/>
      <c r="X4" s="10"/>
      <c r="Y4" s="10"/>
    </row>
    <row r="5">
      <c r="A5" s="41">
        <v>46115.0</v>
      </c>
      <c r="B5" s="46"/>
      <c r="C5" s="10"/>
      <c r="F5" s="10"/>
      <c r="G5" s="10"/>
      <c r="J5" s="10"/>
      <c r="L5" s="10"/>
      <c r="M5" s="10"/>
      <c r="N5" s="10">
        <v>316870.0</v>
      </c>
      <c r="O5" s="10">
        <v>319860.0</v>
      </c>
      <c r="Q5" s="10"/>
      <c r="S5" s="10">
        <v>382219.0</v>
      </c>
      <c r="T5" s="46">
        <v>212746.0</v>
      </c>
      <c r="U5" s="10"/>
      <c r="V5" s="10"/>
      <c r="W5" s="10">
        <v>474357.0</v>
      </c>
      <c r="Y5" s="10">
        <v>319598.0</v>
      </c>
    </row>
    <row r="6">
      <c r="A6" s="41">
        <v>46116.0</v>
      </c>
      <c r="F6" s="10"/>
      <c r="J6" s="10"/>
      <c r="M6" s="46">
        <v>144655.0</v>
      </c>
      <c r="N6" s="10"/>
      <c r="O6" s="10"/>
      <c r="S6" s="10"/>
      <c r="U6" s="10"/>
      <c r="W6" s="10"/>
      <c r="Y6" s="10"/>
    </row>
    <row r="7">
      <c r="A7" s="41">
        <v>46117.0</v>
      </c>
    </row>
    <row r="8">
      <c r="A8" s="41">
        <v>46118.0</v>
      </c>
      <c r="U8" s="10">
        <v>141820.0</v>
      </c>
    </row>
    <row r="9">
      <c r="A9" s="41">
        <v>46119.0</v>
      </c>
    </row>
    <row r="10">
      <c r="A10" s="41">
        <v>46120.0</v>
      </c>
      <c r="G10" s="68">
        <v>175000.0</v>
      </c>
      <c r="S10" s="10">
        <v>173680.0</v>
      </c>
      <c r="W10" s="68">
        <v>312164.0</v>
      </c>
    </row>
    <row r="11">
      <c r="A11" s="41">
        <v>46121.0</v>
      </c>
      <c r="W11" s="68"/>
    </row>
    <row r="12">
      <c r="A12" s="41">
        <v>46122.0</v>
      </c>
      <c r="D12" s="75">
        <v>267960.0</v>
      </c>
      <c r="F12" s="10">
        <v>164635.0</v>
      </c>
    </row>
    <row r="13">
      <c r="A13" s="41">
        <v>46123.0</v>
      </c>
      <c r="B13" s="10">
        <v>178327.0</v>
      </c>
      <c r="C13" s="10">
        <v>370305.0</v>
      </c>
      <c r="D13" s="75"/>
      <c r="K13" s="10">
        <v>133980.0</v>
      </c>
      <c r="R13" s="10">
        <v>133980.0</v>
      </c>
    </row>
    <row r="14">
      <c r="A14" s="41">
        <v>46124.0</v>
      </c>
      <c r="C14" s="10"/>
    </row>
    <row r="15">
      <c r="A15" s="41">
        <v>46125.0</v>
      </c>
      <c r="S15" s="10">
        <v>923663.0</v>
      </c>
    </row>
    <row r="16">
      <c r="A16" s="41">
        <v>46126.0</v>
      </c>
      <c r="S16" s="10"/>
    </row>
    <row r="17">
      <c r="A17" s="41">
        <v>46127.0</v>
      </c>
      <c r="K17" s="75">
        <v>510400.0</v>
      </c>
      <c r="R17" s="75">
        <v>127600.0</v>
      </c>
      <c r="S17" s="10"/>
      <c r="U17" s="10">
        <v>163060.0</v>
      </c>
    </row>
    <row r="18">
      <c r="A18" s="41">
        <v>46128.0</v>
      </c>
      <c r="D18" s="17">
        <v>255200.0</v>
      </c>
      <c r="K18" s="75"/>
      <c r="R18" s="17">
        <v>127600.0</v>
      </c>
      <c r="S18" s="10"/>
    </row>
    <row r="19">
      <c r="A19" s="41">
        <v>46129.0</v>
      </c>
      <c r="D19" s="17"/>
      <c r="G19" s="75">
        <v>140432.0</v>
      </c>
      <c r="H19" s="46">
        <v>144626.0</v>
      </c>
      <c r="K19" s="75"/>
      <c r="O19" s="75">
        <v>140432.0</v>
      </c>
      <c r="R19" s="75">
        <v>127600.0</v>
      </c>
      <c r="S19" s="10"/>
      <c r="U19" s="75">
        <v>140432.0</v>
      </c>
      <c r="Y19" s="75">
        <v>127600.0</v>
      </c>
    </row>
    <row r="20">
      <c r="A20" s="41">
        <v>46130.0</v>
      </c>
      <c r="B20" s="75">
        <v>169836.0</v>
      </c>
      <c r="D20" s="75">
        <v>127600.0</v>
      </c>
      <c r="G20" s="75">
        <v>140432.0</v>
      </c>
      <c r="H20" s="75">
        <v>280864.0</v>
      </c>
      <c r="N20" s="68">
        <v>277878.0</v>
      </c>
      <c r="O20" s="75">
        <v>140432.0</v>
      </c>
      <c r="R20" s="75">
        <v>127600.0</v>
      </c>
      <c r="S20" s="10"/>
      <c r="Y20" s="75">
        <v>127600.0</v>
      </c>
    </row>
    <row r="21">
      <c r="A21" s="41">
        <v>46131.0</v>
      </c>
      <c r="F21" s="75">
        <v>127600.0</v>
      </c>
      <c r="H21" s="75"/>
      <c r="N21" s="68"/>
      <c r="S21" s="10"/>
    </row>
    <row r="22">
      <c r="A22" s="41">
        <v>46132.0</v>
      </c>
      <c r="D22" s="17">
        <v>127600.0</v>
      </c>
      <c r="R22" s="75">
        <v>127600.0</v>
      </c>
      <c r="S22" s="10">
        <v>173680.0</v>
      </c>
    </row>
    <row r="23">
      <c r="A23" s="41">
        <v>46133.0</v>
      </c>
      <c r="G23" s="17">
        <v>421296.0</v>
      </c>
      <c r="K23" s="75">
        <v>127600.0</v>
      </c>
      <c r="S23" s="10">
        <v>176200.0</v>
      </c>
    </row>
    <row r="24">
      <c r="A24" s="41">
        <v>46134.0</v>
      </c>
      <c r="G24" s="17"/>
    </row>
    <row r="25">
      <c r="A25" s="41">
        <v>46135.0</v>
      </c>
      <c r="D25" s="75">
        <v>127600.0</v>
      </c>
      <c r="G25" s="17"/>
      <c r="H25" s="17">
        <v>166050.0</v>
      </c>
      <c r="I25" s="17">
        <v>339672.0</v>
      </c>
      <c r="K25" s="17">
        <v>166050.0</v>
      </c>
      <c r="R25" s="75">
        <v>633215.0</v>
      </c>
    </row>
    <row r="26">
      <c r="A26" s="41">
        <v>46136.0</v>
      </c>
      <c r="D26" s="75">
        <v>127600.0</v>
      </c>
      <c r="I26" s="17"/>
      <c r="K26" s="17">
        <v>127600.0</v>
      </c>
      <c r="N26" s="75">
        <v>421296.0</v>
      </c>
      <c r="R26" s="75"/>
      <c r="W26" s="75">
        <v>382800.0</v>
      </c>
      <c r="Y26" s="75">
        <v>127600.0</v>
      </c>
    </row>
    <row r="27">
      <c r="A27" s="41">
        <v>46137.0</v>
      </c>
      <c r="B27" s="75">
        <v>169836.0</v>
      </c>
      <c r="C27" s="75">
        <v>156796.0</v>
      </c>
      <c r="D27" s="75">
        <v>122815.0</v>
      </c>
      <c r="E27" s="76">
        <v>137196.0</v>
      </c>
      <c r="F27" s="75">
        <v>156796.0</v>
      </c>
      <c r="G27" s="75">
        <v>140432.0</v>
      </c>
      <c r="H27" s="75">
        <v>421296.0</v>
      </c>
      <c r="J27" s="76">
        <v>137196.0</v>
      </c>
      <c r="K27" s="75">
        <v>127600.0</v>
      </c>
      <c r="N27" s="75"/>
      <c r="O27" s="75">
        <v>140432.0</v>
      </c>
      <c r="R27" s="75"/>
      <c r="U27" s="75">
        <v>140432.0</v>
      </c>
      <c r="V27" s="17">
        <v>140432.0</v>
      </c>
      <c r="W27" s="75"/>
      <c r="Y27" s="75">
        <v>127600.0</v>
      </c>
    </row>
    <row r="28">
      <c r="A28" s="41">
        <v>46138.0</v>
      </c>
      <c r="I28" s="75">
        <v>127600.0</v>
      </c>
      <c r="J28" s="75">
        <v>140432.0</v>
      </c>
      <c r="N28" s="75"/>
      <c r="P28" s="75">
        <v>382800.0</v>
      </c>
      <c r="R28" s="75"/>
      <c r="W28" s="75"/>
    </row>
    <row r="29">
      <c r="A29" s="41">
        <v>46139.0</v>
      </c>
      <c r="D29" s="75">
        <v>127600.0</v>
      </c>
      <c r="P29" s="75"/>
      <c r="Q29" s="17">
        <v>313592.0</v>
      </c>
      <c r="R29" s="75"/>
      <c r="U29" s="17">
        <v>408320.0</v>
      </c>
    </row>
    <row r="30">
      <c r="A30" s="41">
        <v>46140.0</v>
      </c>
      <c r="I30" s="10">
        <v>299704.0</v>
      </c>
      <c r="P30" s="75"/>
      <c r="R30" s="75"/>
      <c r="U30" s="17"/>
      <c r="Y30" s="75">
        <v>127600.0</v>
      </c>
    </row>
    <row r="31">
      <c r="A31" s="41">
        <v>46141.0</v>
      </c>
      <c r="C31" s="17">
        <v>156796.0</v>
      </c>
      <c r="D31" s="75">
        <v>255200.0</v>
      </c>
      <c r="I31" s="10"/>
      <c r="N31" s="68">
        <v>122878.0</v>
      </c>
      <c r="O31" s="68">
        <v>155000.0</v>
      </c>
      <c r="U31" s="17"/>
      <c r="Y31" s="75">
        <v>255200.0</v>
      </c>
    </row>
    <row r="32">
      <c r="A32" s="41">
        <v>46142.0</v>
      </c>
      <c r="D32" s="75"/>
      <c r="G32" s="75">
        <v>138676.0</v>
      </c>
      <c r="H32" s="75">
        <v>140432.0</v>
      </c>
      <c r="K32" s="75">
        <v>127600.0</v>
      </c>
      <c r="N32" s="75">
        <v>140432.0</v>
      </c>
      <c r="O32" s="76">
        <v>122878.0</v>
      </c>
      <c r="R32" s="75">
        <v>127600.0</v>
      </c>
      <c r="U32" s="17"/>
      <c r="V32" s="75">
        <v>140432.0</v>
      </c>
      <c r="Y32" s="75"/>
    </row>
    <row r="33">
      <c r="A33" s="41" t="s">
        <v>34</v>
      </c>
    </row>
    <row r="34">
      <c r="A34" s="21" t="s">
        <v>3</v>
      </c>
      <c r="B34" s="69">
        <f>SUM(B3:B32)</f>
        <v>850682</v>
      </c>
      <c r="C34" s="69">
        <f t="shared" ref="C34:Y34" si="1">SUM(C2:C32)</f>
        <v>1221615</v>
      </c>
      <c r="D34" s="69">
        <f t="shared" si="1"/>
        <v>1854577</v>
      </c>
      <c r="E34" s="69">
        <f t="shared" si="1"/>
        <v>447397</v>
      </c>
      <c r="F34" s="69">
        <f t="shared" si="1"/>
        <v>1139093</v>
      </c>
      <c r="G34" s="69">
        <f t="shared" si="1"/>
        <v>1626699</v>
      </c>
      <c r="H34" s="69">
        <f t="shared" si="1"/>
        <v>1451982</v>
      </c>
      <c r="I34" s="69">
        <f t="shared" si="1"/>
        <v>1082186</v>
      </c>
      <c r="J34" s="69">
        <f t="shared" si="1"/>
        <v>965135</v>
      </c>
      <c r="K34" s="69">
        <f t="shared" si="1"/>
        <v>1619547</v>
      </c>
      <c r="L34" s="69">
        <f t="shared" si="1"/>
        <v>593697</v>
      </c>
      <c r="M34" s="69">
        <f t="shared" si="1"/>
        <v>675405</v>
      </c>
      <c r="N34" s="69">
        <f t="shared" si="1"/>
        <v>1442717</v>
      </c>
      <c r="O34" s="69">
        <f t="shared" si="1"/>
        <v>1182398</v>
      </c>
      <c r="P34" s="69">
        <f t="shared" si="1"/>
        <v>649965</v>
      </c>
      <c r="Q34" s="69">
        <f t="shared" si="1"/>
        <v>695686</v>
      </c>
      <c r="R34" s="69">
        <f t="shared" si="1"/>
        <v>1836274</v>
      </c>
      <c r="S34" s="69">
        <f t="shared" si="1"/>
        <v>2194151</v>
      </c>
      <c r="T34" s="69">
        <f t="shared" si="1"/>
        <v>552456</v>
      </c>
      <c r="U34" s="69">
        <f t="shared" si="1"/>
        <v>1629408</v>
      </c>
      <c r="V34" s="69">
        <f t="shared" si="1"/>
        <v>746397</v>
      </c>
      <c r="W34" s="69">
        <f t="shared" si="1"/>
        <v>1517326</v>
      </c>
      <c r="X34" s="69">
        <f t="shared" si="1"/>
        <v>348006</v>
      </c>
      <c r="Y34" s="69">
        <f t="shared" si="1"/>
        <v>1497171</v>
      </c>
      <c r="Z34" s="69">
        <f t="shared" ref="Z34:Z35" si="2">SUM(B34:Y34)</f>
        <v>27819970</v>
      </c>
    </row>
    <row r="35">
      <c r="A35" s="23" t="s">
        <v>4</v>
      </c>
      <c r="B35" s="22">
        <v>5.0</v>
      </c>
      <c r="C35" s="22">
        <v>7.0</v>
      </c>
      <c r="D35" s="22">
        <v>14.0</v>
      </c>
      <c r="E35" s="22">
        <v>3.0</v>
      </c>
      <c r="F35" s="22">
        <v>7.0</v>
      </c>
      <c r="G35" s="22">
        <v>11.0</v>
      </c>
      <c r="H35" s="22">
        <v>8.0</v>
      </c>
      <c r="I35" s="22">
        <v>7.0</v>
      </c>
      <c r="J35" s="22">
        <v>6.0</v>
      </c>
      <c r="K35" s="22">
        <v>11.0</v>
      </c>
      <c r="L35" s="22">
        <v>3.0</v>
      </c>
      <c r="M35" s="22">
        <v>4.0</v>
      </c>
      <c r="N35" s="22">
        <v>10.0</v>
      </c>
      <c r="O35" s="22">
        <v>8.0</v>
      </c>
      <c r="P35" s="22">
        <v>5.0</v>
      </c>
      <c r="Q35" s="22">
        <v>3.0</v>
      </c>
      <c r="R35" s="22">
        <v>15.0</v>
      </c>
      <c r="S35" s="22">
        <v>14.0</v>
      </c>
      <c r="T35" s="22">
        <v>3.0</v>
      </c>
      <c r="U35" s="22">
        <v>12.0</v>
      </c>
      <c r="V35" s="22">
        <v>5.0</v>
      </c>
      <c r="W35" s="22">
        <v>9.0</v>
      </c>
      <c r="X35" s="22">
        <v>2.0</v>
      </c>
      <c r="Y35" s="22">
        <v>11.0</v>
      </c>
      <c r="Z35" s="70">
        <f t="shared" si="2"/>
        <v>183</v>
      </c>
    </row>
    <row r="36">
      <c r="A36" s="26" t="s">
        <v>5</v>
      </c>
      <c r="B36" s="24">
        <f t="shared" ref="B36:Y36" si="3">(B35/31)</f>
        <v>0.1612903226</v>
      </c>
      <c r="C36" s="24">
        <f t="shared" si="3"/>
        <v>0.2258064516</v>
      </c>
      <c r="D36" s="24">
        <f t="shared" si="3"/>
        <v>0.4516129032</v>
      </c>
      <c r="E36" s="24">
        <f t="shared" si="3"/>
        <v>0.09677419355</v>
      </c>
      <c r="F36" s="24">
        <f t="shared" si="3"/>
        <v>0.2258064516</v>
      </c>
      <c r="G36" s="24">
        <f t="shared" si="3"/>
        <v>0.3548387097</v>
      </c>
      <c r="H36" s="24">
        <f t="shared" si="3"/>
        <v>0.2580645161</v>
      </c>
      <c r="I36" s="24">
        <f t="shared" si="3"/>
        <v>0.2258064516</v>
      </c>
      <c r="J36" s="24">
        <f t="shared" si="3"/>
        <v>0.1935483871</v>
      </c>
      <c r="K36" s="24">
        <f t="shared" si="3"/>
        <v>0.3548387097</v>
      </c>
      <c r="L36" s="24">
        <f t="shared" si="3"/>
        <v>0.09677419355</v>
      </c>
      <c r="M36" s="24">
        <f t="shared" si="3"/>
        <v>0.1290322581</v>
      </c>
      <c r="N36" s="24">
        <f t="shared" si="3"/>
        <v>0.3225806452</v>
      </c>
      <c r="O36" s="24">
        <f t="shared" si="3"/>
        <v>0.2580645161</v>
      </c>
      <c r="P36" s="24">
        <f t="shared" si="3"/>
        <v>0.1612903226</v>
      </c>
      <c r="Q36" s="24">
        <f t="shared" si="3"/>
        <v>0.09677419355</v>
      </c>
      <c r="R36" s="24">
        <f t="shared" si="3"/>
        <v>0.4838709677</v>
      </c>
      <c r="S36" s="24">
        <f t="shared" si="3"/>
        <v>0.4516129032</v>
      </c>
      <c r="T36" s="24">
        <f t="shared" si="3"/>
        <v>0.09677419355</v>
      </c>
      <c r="U36" s="24">
        <f t="shared" si="3"/>
        <v>0.3870967742</v>
      </c>
      <c r="V36" s="24">
        <f t="shared" si="3"/>
        <v>0.1612903226</v>
      </c>
      <c r="W36" s="24">
        <f t="shared" si="3"/>
        <v>0.2903225806</v>
      </c>
      <c r="X36" s="24">
        <f t="shared" si="3"/>
        <v>0.06451612903</v>
      </c>
      <c r="Y36" s="24">
        <f t="shared" si="3"/>
        <v>0.3548387097</v>
      </c>
      <c r="Z36" s="25"/>
    </row>
    <row r="37">
      <c r="A37" s="23" t="s">
        <v>6</v>
      </c>
      <c r="B37" s="48">
        <v>720.0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9"/>
      <c r="Z37" s="4"/>
    </row>
    <row r="38">
      <c r="A38" s="29" t="s">
        <v>7</v>
      </c>
      <c r="B38" s="30">
        <f>Z35</f>
        <v>183</v>
      </c>
    </row>
    <row r="39">
      <c r="A39" s="23" t="s">
        <v>8</v>
      </c>
      <c r="B39" s="33"/>
    </row>
    <row r="40">
      <c r="A40" s="29" t="s">
        <v>9</v>
      </c>
      <c r="B40" s="33"/>
    </row>
    <row r="41">
      <c r="A41" s="23" t="s">
        <v>10</v>
      </c>
      <c r="B41" s="77">
        <v>2.781997E7</v>
      </c>
    </row>
    <row r="42">
      <c r="A42" s="35" t="s">
        <v>35</v>
      </c>
      <c r="B42" s="33">
        <f>32892+138724+58156+157612+86734+55060+55280+126773+79773+76251+97845+88523+89075+49222+70421+80633+404637+62585+173350+85793+151610+64115+111328</f>
        <v>2396392</v>
      </c>
    </row>
    <row r="43">
      <c r="A43" s="35" t="s">
        <v>36</v>
      </c>
      <c r="B43" s="33">
        <f>62653+28921+213293+52457+103287+155416+23536+25903+164751+103611+77708+70607+234476+51805+25903+70607+164751</f>
        <v>1629685</v>
      </c>
    </row>
    <row r="44">
      <c r="A44" s="35" t="s">
        <v>37</v>
      </c>
      <c r="B44" s="33">
        <f>28921+70607+77708+30628+62653+54164+57842+22968+64555+25903</f>
        <v>495949</v>
      </c>
    </row>
    <row r="45">
      <c r="A45" s="35" t="s">
        <v>12</v>
      </c>
      <c r="B45" s="36">
        <f>100000+100000+250000+75000+125000+175000+125000+200000+100000+200000+50000+50000+125000+150000+25000+50000+200000+175000+50000+150000+50000+100000+25000+200000</f>
        <v>2850000</v>
      </c>
    </row>
    <row r="46">
      <c r="A46" s="35" t="s">
        <v>13</v>
      </c>
      <c r="B46" s="36">
        <f>556867+779118+1073051+316367+683249+1009744+901573+2349866+626666+952555+397073+448186+945863+714265+423034+439550+1092582+1371996+373548+949176+456927+1015498+219712+874667</f>
        <v>18971133</v>
      </c>
    </row>
    <row r="47">
      <c r="A47" s="35" t="s">
        <v>14</v>
      </c>
      <c r="B47" s="36">
        <f>69145+148553+189362+16829+104183+155690+141157+207084+110588+155458+46822+61143+114304+106547+74653+77568+192809+242117+37758+174280+80634+136131+38773+154353</f>
        <v>2835941</v>
      </c>
    </row>
    <row r="48">
      <c r="A48" s="35" t="s">
        <v>15</v>
      </c>
      <c r="B48" s="36"/>
    </row>
    <row r="49">
      <c r="A49" s="35" t="s">
        <v>17</v>
      </c>
      <c r="B49" s="56"/>
    </row>
    <row r="50">
      <c r="A50" s="4"/>
      <c r="B50" s="36"/>
    </row>
    <row r="51">
      <c r="A51" s="18" t="s">
        <v>38</v>
      </c>
    </row>
    <row r="52">
      <c r="A52" s="72" t="s">
        <v>31</v>
      </c>
    </row>
    <row r="53">
      <c r="A53" s="39" t="s">
        <v>20</v>
      </c>
    </row>
    <row r="54">
      <c r="A54" s="73" t="s">
        <v>32</v>
      </c>
    </row>
    <row r="55">
      <c r="A55" s="74" t="s">
        <v>27</v>
      </c>
    </row>
    <row r="56">
      <c r="A56" s="78" t="s">
        <v>39</v>
      </c>
    </row>
    <row r="57">
      <c r="A57" s="79" t="s">
        <v>40</v>
      </c>
    </row>
    <row r="58">
      <c r="A58" s="4"/>
    </row>
  </sheetData>
  <mergeCells count="1">
    <mergeCell ref="A1:Y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7.75"/>
    <col customWidth="1" min="3" max="3" width="17.5"/>
  </cols>
  <sheetData>
    <row r="1">
      <c r="A1" s="1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>
      <c r="A2" s="5"/>
      <c r="B2" s="40">
        <v>105.0</v>
      </c>
      <c r="C2" s="40">
        <v>106.0</v>
      </c>
      <c r="D2" s="40">
        <v>107.0</v>
      </c>
      <c r="E2" s="40">
        <v>201.0</v>
      </c>
      <c r="F2" s="40">
        <v>202.0</v>
      </c>
      <c r="G2" s="40">
        <v>203.0</v>
      </c>
      <c r="H2" s="40">
        <v>204.0</v>
      </c>
      <c r="I2" s="40">
        <v>205.0</v>
      </c>
      <c r="J2" s="40">
        <v>206.0</v>
      </c>
      <c r="K2" s="40">
        <v>207.0</v>
      </c>
      <c r="L2" s="40">
        <v>301.0</v>
      </c>
      <c r="M2" s="40">
        <v>302.0</v>
      </c>
      <c r="N2" s="40">
        <v>303.0</v>
      </c>
      <c r="O2" s="40">
        <v>304.0</v>
      </c>
      <c r="P2" s="40">
        <v>305.0</v>
      </c>
      <c r="Q2" s="40">
        <v>306.0</v>
      </c>
      <c r="R2" s="40">
        <v>307.0</v>
      </c>
      <c r="S2" s="40">
        <v>401.0</v>
      </c>
      <c r="T2" s="40">
        <v>402.0</v>
      </c>
      <c r="U2" s="40">
        <v>403.0</v>
      </c>
      <c r="V2" s="40">
        <v>404.0</v>
      </c>
      <c r="W2" s="40">
        <v>405.0</v>
      </c>
      <c r="X2" s="40">
        <v>406.0</v>
      </c>
      <c r="Y2" s="40">
        <v>407.0</v>
      </c>
    </row>
    <row r="3">
      <c r="A3" s="41">
        <v>46143.0</v>
      </c>
      <c r="B3" s="75">
        <v>169836.0</v>
      </c>
      <c r="C3" s="75">
        <v>313592.0</v>
      </c>
      <c r="D3" s="75">
        <v>166595.0</v>
      </c>
      <c r="E3" s="75">
        <v>166595.0</v>
      </c>
      <c r="F3" s="76">
        <v>137196.0</v>
      </c>
      <c r="G3" s="75"/>
      <c r="H3" s="80">
        <v>207332.0</v>
      </c>
      <c r="I3" s="75">
        <v>180450.0</v>
      </c>
      <c r="J3" s="17">
        <v>156796.0</v>
      </c>
      <c r="K3" s="17">
        <v>245630.0</v>
      </c>
      <c r="L3" s="17">
        <v>156796.0</v>
      </c>
      <c r="M3" s="17">
        <v>156796.0</v>
      </c>
      <c r="N3" s="75"/>
      <c r="O3" s="17">
        <v>169836.0</v>
      </c>
      <c r="P3" s="75">
        <v>180450.0</v>
      </c>
      <c r="Q3" s="17">
        <v>156796.0</v>
      </c>
      <c r="R3" s="75"/>
      <c r="S3" s="17">
        <v>156796.0</v>
      </c>
      <c r="T3" s="75">
        <v>166595.0</v>
      </c>
      <c r="U3" s="17"/>
      <c r="V3" s="75"/>
      <c r="W3" s="68">
        <v>550000.0</v>
      </c>
      <c r="X3" s="17">
        <v>488070.0</v>
      </c>
      <c r="Y3" s="75">
        <v>245630.0</v>
      </c>
    </row>
    <row r="4">
      <c r="A4" s="41">
        <v>46144.0</v>
      </c>
      <c r="C4" s="75"/>
      <c r="D4" s="75">
        <v>127600.0</v>
      </c>
      <c r="E4" s="75">
        <v>166595.0</v>
      </c>
      <c r="F4" s="75">
        <v>166595.0</v>
      </c>
      <c r="G4" s="75"/>
      <c r="H4" s="81"/>
      <c r="I4" s="75">
        <v>180450.0</v>
      </c>
      <c r="J4" s="68">
        <v>150000.0</v>
      </c>
      <c r="K4" s="17"/>
      <c r="L4" s="75">
        <v>166595.0</v>
      </c>
      <c r="N4" s="75">
        <v>140432.0</v>
      </c>
      <c r="O4" s="75">
        <v>122815.0</v>
      </c>
      <c r="P4" s="75">
        <v>180450.0</v>
      </c>
      <c r="Q4" s="75">
        <v>166595.0</v>
      </c>
      <c r="R4" s="17">
        <v>122018.0</v>
      </c>
      <c r="S4" s="75">
        <v>166595.0</v>
      </c>
      <c r="T4" s="75">
        <v>166595.0</v>
      </c>
      <c r="U4" s="17"/>
      <c r="V4" s="75"/>
      <c r="W4" s="82"/>
      <c r="X4" s="17"/>
      <c r="Y4" s="75"/>
    </row>
    <row r="5">
      <c r="A5" s="41">
        <v>46145.0</v>
      </c>
      <c r="K5" s="75">
        <v>127600.0</v>
      </c>
      <c r="W5" s="82"/>
      <c r="X5" s="17"/>
    </row>
    <row r="6">
      <c r="A6" s="41">
        <v>46146.0</v>
      </c>
      <c r="J6" s="17">
        <v>305200.0</v>
      </c>
      <c r="X6" s="17"/>
    </row>
    <row r="7">
      <c r="A7" s="41">
        <v>46147.0</v>
      </c>
      <c r="G7" s="75">
        <v>140432.0</v>
      </c>
      <c r="J7" s="17"/>
    </row>
    <row r="8">
      <c r="A8" s="41">
        <v>46148.0</v>
      </c>
      <c r="J8" s="17"/>
      <c r="N8" s="75">
        <v>140432.0</v>
      </c>
    </row>
    <row r="9">
      <c r="A9" s="41">
        <v>46149.0</v>
      </c>
      <c r="H9" s="10">
        <v>150000.0</v>
      </c>
      <c r="J9" s="10">
        <v>175000.0</v>
      </c>
      <c r="K9" s="75">
        <v>127600.0</v>
      </c>
      <c r="R9" s="75">
        <v>127600.0</v>
      </c>
      <c r="Y9" s="75">
        <v>127600.0</v>
      </c>
    </row>
    <row r="10">
      <c r="A10" s="41">
        <v>46150.0</v>
      </c>
      <c r="D10" s="75">
        <v>127600.0</v>
      </c>
      <c r="K10" s="75">
        <v>122815.0</v>
      </c>
      <c r="P10" s="76">
        <v>148606.0</v>
      </c>
      <c r="R10" s="75">
        <v>122715.0</v>
      </c>
      <c r="Y10" s="75">
        <v>245630.0</v>
      </c>
    </row>
    <row r="11">
      <c r="A11" s="41">
        <v>46151.0</v>
      </c>
      <c r="E11" s="17">
        <v>181796.0</v>
      </c>
      <c r="G11" s="75">
        <v>140432.0</v>
      </c>
      <c r="H11" s="68">
        <v>122878.0</v>
      </c>
      <c r="R11" s="75">
        <v>255200.0</v>
      </c>
      <c r="U11" s="75">
        <v>165432.0</v>
      </c>
      <c r="V11" s="17">
        <v>165432.0</v>
      </c>
      <c r="Y11" s="75"/>
    </row>
    <row r="12">
      <c r="A12" s="41">
        <v>46152.0</v>
      </c>
      <c r="D12" s="68">
        <v>141000.0</v>
      </c>
      <c r="F12" s="17">
        <v>165432.0</v>
      </c>
      <c r="K12" s="68">
        <v>175000.0</v>
      </c>
      <c r="N12" s="17">
        <v>976140.0</v>
      </c>
      <c r="O12" s="80">
        <v>561728.0</v>
      </c>
      <c r="R12" s="75"/>
      <c r="X12" s="75">
        <v>416990.0</v>
      </c>
    </row>
    <row r="13">
      <c r="A13" s="41">
        <v>46153.0</v>
      </c>
      <c r="N13" s="17"/>
      <c r="O13" s="80"/>
      <c r="R13" s="75"/>
      <c r="U13" s="68">
        <v>140000.0</v>
      </c>
      <c r="X13" s="75"/>
    </row>
    <row r="14">
      <c r="A14" s="41">
        <v>46154.0</v>
      </c>
      <c r="D14" s="75">
        <v>245630.0</v>
      </c>
      <c r="I14" s="68">
        <v>585000.0</v>
      </c>
      <c r="K14" s="17">
        <v>152600.0</v>
      </c>
      <c r="N14" s="17"/>
      <c r="O14" s="80"/>
      <c r="Y14" s="75">
        <v>250415.0</v>
      </c>
    </row>
    <row r="15">
      <c r="A15" s="41">
        <v>46155.0</v>
      </c>
      <c r="D15" s="75"/>
      <c r="G15" s="75">
        <v>305864.0</v>
      </c>
      <c r="H15" s="68">
        <v>147878.0</v>
      </c>
      <c r="I15" s="68"/>
      <c r="J15" s="68">
        <v>147878.0</v>
      </c>
      <c r="K15" s="75">
        <v>280200.0</v>
      </c>
      <c r="N15" s="17"/>
      <c r="O15" s="80"/>
      <c r="R15" s="75">
        <v>152600.0</v>
      </c>
      <c r="U15" s="68">
        <v>147878.0</v>
      </c>
      <c r="V15" s="68">
        <v>147878.0</v>
      </c>
      <c r="Y15" s="75"/>
    </row>
    <row r="16">
      <c r="A16" s="41">
        <v>46156.0</v>
      </c>
      <c r="G16" s="75"/>
      <c r="I16" s="68"/>
      <c r="K16" s="75"/>
      <c r="N16" s="17"/>
      <c r="U16" s="17">
        <v>264282.0</v>
      </c>
      <c r="V16" s="17">
        <v>264282.0</v>
      </c>
    </row>
    <row r="17">
      <c r="A17" s="41">
        <v>46157.0</v>
      </c>
      <c r="D17" s="75">
        <v>122815.0</v>
      </c>
      <c r="E17" s="17">
        <v>377791.0</v>
      </c>
      <c r="F17" s="75">
        <v>208260.0</v>
      </c>
      <c r="G17" s="75">
        <v>305864.0</v>
      </c>
      <c r="H17" s="75">
        <v>405497.0</v>
      </c>
      <c r="I17" s="68"/>
      <c r="J17" s="75">
        <v>391520.0</v>
      </c>
      <c r="K17" s="17">
        <v>366054.0</v>
      </c>
      <c r="M17" s="75">
        <v>574780.0</v>
      </c>
      <c r="N17" s="17"/>
      <c r="O17" s="75">
        <v>179480.0</v>
      </c>
      <c r="P17" s="17">
        <v>585520.0</v>
      </c>
      <c r="R17" s="17">
        <v>366054.0</v>
      </c>
      <c r="Y17" s="17">
        <v>366054.0</v>
      </c>
    </row>
    <row r="18">
      <c r="A18" s="41">
        <v>46158.0</v>
      </c>
      <c r="B18" s="17">
        <v>297332.0</v>
      </c>
      <c r="C18" s="17">
        <v>297332.0</v>
      </c>
      <c r="D18" s="17">
        <v>297332.0</v>
      </c>
      <c r="E18" s="17"/>
      <c r="F18" s="17">
        <v>197480.0</v>
      </c>
      <c r="G18" s="75"/>
      <c r="H18" s="75"/>
      <c r="I18" s="75">
        <v>223517.0</v>
      </c>
      <c r="J18" s="75"/>
      <c r="K18" s="75">
        <v>270630.0</v>
      </c>
      <c r="L18" s="75">
        <v>391520.0</v>
      </c>
      <c r="M18" s="75"/>
      <c r="N18" s="17"/>
      <c r="O18" s="75">
        <v>160165.0</v>
      </c>
      <c r="P18" s="17"/>
      <c r="Q18" s="68">
        <v>326840.0</v>
      </c>
      <c r="R18" s="17">
        <v>280200.0</v>
      </c>
      <c r="S18" s="68">
        <v>175000.0</v>
      </c>
      <c r="T18" s="75">
        <v>208260.0</v>
      </c>
      <c r="U18" s="75">
        <v>576195.0</v>
      </c>
      <c r="V18" s="83">
        <v>297332.0</v>
      </c>
      <c r="W18" s="68">
        <v>188485.0</v>
      </c>
      <c r="X18" s="68">
        <v>325920.0</v>
      </c>
      <c r="Y18" s="75">
        <v>407800.0</v>
      </c>
    </row>
    <row r="19">
      <c r="A19" s="41">
        <v>46159.0</v>
      </c>
      <c r="B19" s="17"/>
      <c r="C19" s="84"/>
      <c r="D19" s="84"/>
      <c r="F19" s="75">
        <v>208260.0</v>
      </c>
      <c r="G19" s="75">
        <v>165432.0</v>
      </c>
      <c r="H19" s="75"/>
      <c r="I19" s="17">
        <v>1110270.0</v>
      </c>
      <c r="J19" s="75">
        <v>541451.0</v>
      </c>
      <c r="K19" s="75"/>
      <c r="L19" s="75"/>
      <c r="M19" s="75"/>
      <c r="N19" s="17"/>
      <c r="O19" s="75">
        <v>160165.0</v>
      </c>
      <c r="P19" s="17"/>
      <c r="Q19" s="68"/>
      <c r="R19" s="17"/>
      <c r="S19" s="75">
        <v>208260.0</v>
      </c>
      <c r="T19" s="75">
        <v>208260.0</v>
      </c>
      <c r="U19" s="75"/>
      <c r="V19" s="84"/>
      <c r="X19" s="68"/>
      <c r="Y19" s="75"/>
    </row>
    <row r="20">
      <c r="A20" s="41">
        <v>46160.0</v>
      </c>
      <c r="D20" s="17">
        <v>152600.0</v>
      </c>
      <c r="E20" s="75">
        <v>175000.0</v>
      </c>
      <c r="I20" s="17"/>
      <c r="J20" s="75"/>
      <c r="K20" s="68">
        <v>359950.0</v>
      </c>
      <c r="N20" s="17"/>
      <c r="R20" s="75">
        <v>280200.0</v>
      </c>
      <c r="U20" s="75"/>
      <c r="Y20" s="75"/>
    </row>
    <row r="21">
      <c r="A21" s="41">
        <v>46161.0</v>
      </c>
      <c r="B21" s="4"/>
      <c r="C21" s="4"/>
      <c r="D21" s="4"/>
      <c r="E21" s="4"/>
      <c r="F21" s="4"/>
      <c r="G21" s="4"/>
      <c r="I21" s="17"/>
      <c r="J21" s="75"/>
      <c r="K21" s="68"/>
      <c r="N21" s="17"/>
      <c r="P21" s="17">
        <v>194836.0</v>
      </c>
      <c r="R21" s="75"/>
      <c r="U21" s="75"/>
      <c r="W21" s="68">
        <v>475000.0</v>
      </c>
      <c r="Y21" s="68">
        <v>136650.0</v>
      </c>
    </row>
    <row r="22">
      <c r="A22" s="41">
        <v>46162.0</v>
      </c>
      <c r="B22" s="4"/>
      <c r="C22" s="4"/>
      <c r="D22" s="85">
        <v>147018.0</v>
      </c>
      <c r="E22" s="4"/>
      <c r="F22" s="4"/>
      <c r="G22" s="4"/>
      <c r="I22" s="17"/>
      <c r="K22" s="68"/>
      <c r="W22" s="68"/>
    </row>
    <row r="23">
      <c r="A23" s="41">
        <v>46163.0</v>
      </c>
      <c r="B23" s="4"/>
      <c r="C23" s="4"/>
      <c r="D23" s="85">
        <v>165360.0</v>
      </c>
      <c r="E23" s="4"/>
      <c r="F23" s="4"/>
      <c r="G23" s="4"/>
      <c r="I23" s="17"/>
      <c r="K23" s="84">
        <v>165360.0</v>
      </c>
      <c r="W23" s="68"/>
    </row>
    <row r="24">
      <c r="A24" s="41">
        <v>46164.0</v>
      </c>
      <c r="B24" s="75">
        <v>205450.0</v>
      </c>
      <c r="C24" s="4"/>
      <c r="D24" s="75">
        <v>275415.0</v>
      </c>
      <c r="E24" s="85">
        <v>385626.0</v>
      </c>
      <c r="F24" s="4"/>
      <c r="G24" s="68">
        <v>160000.0</v>
      </c>
      <c r="I24" s="17"/>
      <c r="K24" s="80">
        <v>188388.0</v>
      </c>
      <c r="N24" s="17">
        <v>333974.0</v>
      </c>
      <c r="O24" s="75">
        <v>333974.0</v>
      </c>
      <c r="P24" s="68">
        <v>604000.0</v>
      </c>
      <c r="R24" s="75">
        <v>280200.0</v>
      </c>
      <c r="S24" s="10">
        <v>182773.0</v>
      </c>
      <c r="U24" s="75">
        <v>805677.0</v>
      </c>
      <c r="W24" s="68">
        <v>322212.0</v>
      </c>
      <c r="Y24" s="80">
        <v>94194.0</v>
      </c>
    </row>
    <row r="25">
      <c r="A25" s="41">
        <v>46165.0</v>
      </c>
      <c r="B25" s="17">
        <v>179487.0</v>
      </c>
      <c r="C25" s="75">
        <v>216582.0</v>
      </c>
      <c r="D25" s="75"/>
      <c r="E25" s="85"/>
      <c r="F25" s="4"/>
      <c r="G25" s="75">
        <v>295331.0</v>
      </c>
      <c r="H25" s="84">
        <v>179487.0</v>
      </c>
      <c r="I25" s="17"/>
      <c r="J25" s="17">
        <v>179487.0</v>
      </c>
      <c r="K25" s="80"/>
      <c r="N25" s="17"/>
      <c r="O25" s="75"/>
      <c r="P25" s="68"/>
      <c r="Q25" s="75">
        <v>216518.0</v>
      </c>
      <c r="R25" s="75"/>
      <c r="U25" s="75"/>
      <c r="W25" s="68"/>
      <c r="Y25" s="75">
        <v>165360.0</v>
      </c>
    </row>
    <row r="26">
      <c r="A26" s="41">
        <v>46166.0</v>
      </c>
      <c r="B26" s="4"/>
      <c r="C26" s="4"/>
      <c r="D26" s="85">
        <v>488070.0</v>
      </c>
      <c r="E26" s="4"/>
      <c r="F26" s="4"/>
      <c r="G26" s="75"/>
      <c r="K26" s="80">
        <v>103610.0</v>
      </c>
      <c r="O26" s="75">
        <v>179487.0</v>
      </c>
      <c r="P26" s="68"/>
      <c r="R26" s="76">
        <v>147815.0</v>
      </c>
      <c r="U26" s="75"/>
      <c r="V26" s="76">
        <v>147815.0</v>
      </c>
      <c r="Y26" s="75">
        <v>165360.0</v>
      </c>
    </row>
    <row r="27">
      <c r="A27" s="41">
        <v>46167.0</v>
      </c>
      <c r="B27" s="4"/>
      <c r="C27" s="4"/>
      <c r="D27" s="85"/>
      <c r="E27" s="4"/>
      <c r="F27" s="4"/>
      <c r="G27" s="75">
        <v>179487.0</v>
      </c>
      <c r="U27" s="75"/>
    </row>
    <row r="28">
      <c r="A28" s="41">
        <v>46168.0</v>
      </c>
      <c r="B28" s="4"/>
      <c r="C28" s="85">
        <v>385626.0</v>
      </c>
      <c r="D28" s="85"/>
      <c r="E28" s="4"/>
      <c r="F28" s="4"/>
      <c r="G28" s="4"/>
      <c r="N28" s="75">
        <v>179487.0</v>
      </c>
      <c r="U28" s="75"/>
    </row>
    <row r="29">
      <c r="A29" s="41">
        <v>46169.0</v>
      </c>
      <c r="C29" s="84"/>
      <c r="D29" s="84"/>
      <c r="G29" s="10">
        <v>799716.0</v>
      </c>
      <c r="J29" s="85">
        <v>836411.0</v>
      </c>
      <c r="U29" s="75"/>
    </row>
    <row r="30">
      <c r="A30" s="41">
        <v>46170.0</v>
      </c>
      <c r="D30" s="84"/>
      <c r="E30" s="75">
        <v>524787.0</v>
      </c>
      <c r="G30" s="10"/>
      <c r="H30" s="68">
        <v>147815.0</v>
      </c>
      <c r="J30" s="85"/>
      <c r="K30" s="75">
        <v>165360.0</v>
      </c>
      <c r="U30" s="75"/>
    </row>
    <row r="31">
      <c r="A31" s="41">
        <v>46171.0</v>
      </c>
      <c r="E31" s="75"/>
      <c r="G31" s="10"/>
      <c r="J31" s="85"/>
    </row>
    <row r="32">
      <c r="A32" s="41">
        <v>46172.0</v>
      </c>
      <c r="E32" s="75"/>
      <c r="G32" s="10"/>
      <c r="J32" s="85"/>
    </row>
    <row r="33">
      <c r="A33" s="41">
        <v>46173.0</v>
      </c>
      <c r="G33" s="10"/>
      <c r="J33" s="85"/>
    </row>
    <row r="34">
      <c r="A34" s="21" t="s">
        <v>3</v>
      </c>
      <c r="B34" s="69">
        <f t="shared" ref="B34:Y34" si="1">SUM(B3:B33)</f>
        <v>852105</v>
      </c>
      <c r="C34" s="69">
        <f t="shared" si="1"/>
        <v>1213132</v>
      </c>
      <c r="D34" s="69">
        <f t="shared" si="1"/>
        <v>2457035</v>
      </c>
      <c r="E34" s="69">
        <f t="shared" si="1"/>
        <v>1978190</v>
      </c>
      <c r="F34" s="69">
        <f t="shared" si="1"/>
        <v>1083223</v>
      </c>
      <c r="G34" s="69">
        <f t="shared" si="1"/>
        <v>2492558</v>
      </c>
      <c r="H34" s="69">
        <f t="shared" si="1"/>
        <v>1360887</v>
      </c>
      <c r="I34" s="69">
        <f t="shared" si="1"/>
        <v>2279687</v>
      </c>
      <c r="J34" s="69">
        <f t="shared" si="1"/>
        <v>2883743</v>
      </c>
      <c r="K34" s="69">
        <f t="shared" si="1"/>
        <v>2850797</v>
      </c>
      <c r="L34" s="69">
        <f t="shared" si="1"/>
        <v>714911</v>
      </c>
      <c r="M34" s="69">
        <f t="shared" si="1"/>
        <v>731576</v>
      </c>
      <c r="N34" s="69">
        <f t="shared" si="1"/>
        <v>1770465</v>
      </c>
      <c r="O34" s="69">
        <f t="shared" si="1"/>
        <v>1867650</v>
      </c>
      <c r="P34" s="69">
        <f t="shared" si="1"/>
        <v>1893862</v>
      </c>
      <c r="Q34" s="69">
        <f t="shared" si="1"/>
        <v>866749</v>
      </c>
      <c r="R34" s="69">
        <f t="shared" si="1"/>
        <v>2134602</v>
      </c>
      <c r="S34" s="69">
        <f t="shared" si="1"/>
        <v>889424</v>
      </c>
      <c r="T34" s="69">
        <f t="shared" si="1"/>
        <v>749710</v>
      </c>
      <c r="U34" s="69">
        <f t="shared" si="1"/>
        <v>2099464</v>
      </c>
      <c r="V34" s="69">
        <f t="shared" si="1"/>
        <v>1022739</v>
      </c>
      <c r="W34" s="69">
        <f t="shared" si="1"/>
        <v>1535697</v>
      </c>
      <c r="X34" s="69">
        <f t="shared" si="1"/>
        <v>1230980</v>
      </c>
      <c r="Y34" s="69">
        <f t="shared" si="1"/>
        <v>2204693</v>
      </c>
      <c r="Z34" s="69">
        <f t="shared" ref="Z34:Z35" si="2">SUM(B34:Y34)</f>
        <v>39163879</v>
      </c>
    </row>
    <row r="35">
      <c r="A35" s="23" t="s">
        <v>4</v>
      </c>
      <c r="B35" s="22">
        <v>7.0</v>
      </c>
      <c r="C35" s="22">
        <v>10.0</v>
      </c>
      <c r="D35" s="22"/>
      <c r="E35" s="22"/>
      <c r="F35" s="22"/>
      <c r="G35" s="22">
        <v>17.0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70">
        <f t="shared" si="2"/>
        <v>34</v>
      </c>
    </row>
    <row r="36">
      <c r="A36" s="26" t="s">
        <v>5</v>
      </c>
      <c r="B36" s="24">
        <f t="shared" ref="B36:Y36" si="3">(B35/31)</f>
        <v>0.2258064516</v>
      </c>
      <c r="C36" s="24">
        <f t="shared" si="3"/>
        <v>0.3225806452</v>
      </c>
      <c r="D36" s="24">
        <f t="shared" si="3"/>
        <v>0</v>
      </c>
      <c r="E36" s="24">
        <f t="shared" si="3"/>
        <v>0</v>
      </c>
      <c r="F36" s="24">
        <f t="shared" si="3"/>
        <v>0</v>
      </c>
      <c r="G36" s="24">
        <f t="shared" si="3"/>
        <v>0.5483870968</v>
      </c>
      <c r="H36" s="24">
        <f t="shared" si="3"/>
        <v>0</v>
      </c>
      <c r="I36" s="24">
        <f t="shared" si="3"/>
        <v>0</v>
      </c>
      <c r="J36" s="24">
        <f t="shared" si="3"/>
        <v>0</v>
      </c>
      <c r="K36" s="24">
        <f t="shared" si="3"/>
        <v>0</v>
      </c>
      <c r="L36" s="24">
        <f t="shared" si="3"/>
        <v>0</v>
      </c>
      <c r="M36" s="24">
        <f t="shared" si="3"/>
        <v>0</v>
      </c>
      <c r="N36" s="24">
        <f t="shared" si="3"/>
        <v>0</v>
      </c>
      <c r="O36" s="24">
        <f t="shared" si="3"/>
        <v>0</v>
      </c>
      <c r="P36" s="24">
        <f t="shared" si="3"/>
        <v>0</v>
      </c>
      <c r="Q36" s="24">
        <f t="shared" si="3"/>
        <v>0</v>
      </c>
      <c r="R36" s="24">
        <f t="shared" si="3"/>
        <v>0</v>
      </c>
      <c r="S36" s="24">
        <f t="shared" si="3"/>
        <v>0</v>
      </c>
      <c r="T36" s="24">
        <f t="shared" si="3"/>
        <v>0</v>
      </c>
      <c r="U36" s="24">
        <f t="shared" si="3"/>
        <v>0</v>
      </c>
      <c r="V36" s="24">
        <f t="shared" si="3"/>
        <v>0</v>
      </c>
      <c r="W36" s="24">
        <f t="shared" si="3"/>
        <v>0</v>
      </c>
      <c r="X36" s="24">
        <f t="shared" si="3"/>
        <v>0</v>
      </c>
      <c r="Y36" s="24">
        <f t="shared" si="3"/>
        <v>0</v>
      </c>
      <c r="Z36" s="25"/>
    </row>
    <row r="37">
      <c r="A37" s="23" t="s">
        <v>6</v>
      </c>
      <c r="B37" s="27" t="str">
        <f>B39/B38</f>
        <v>#DIV/0!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9"/>
      <c r="Z37" s="4"/>
    </row>
    <row r="38">
      <c r="A38" s="29" t="s">
        <v>7</v>
      </c>
      <c r="B38" s="48"/>
    </row>
    <row r="39">
      <c r="A39" s="23" t="s">
        <v>8</v>
      </c>
      <c r="B39" s="86"/>
    </row>
    <row r="40">
      <c r="A40" s="29" t="s">
        <v>9</v>
      </c>
      <c r="B40" s="33"/>
    </row>
    <row r="41">
      <c r="A41" s="23" t="s">
        <v>10</v>
      </c>
      <c r="B41" s="34"/>
    </row>
    <row r="42">
      <c r="A42" s="87" t="s">
        <v>42</v>
      </c>
      <c r="B42" s="3"/>
      <c r="C42" s="23" t="s">
        <v>43</v>
      </c>
    </row>
    <row r="43">
      <c r="A43" s="35" t="s">
        <v>11</v>
      </c>
      <c r="B43" s="33"/>
      <c r="C43" s="33"/>
    </row>
    <row r="44">
      <c r="A44" s="35" t="s">
        <v>44</v>
      </c>
      <c r="B44" s="33"/>
      <c r="C44" s="33"/>
    </row>
    <row r="45">
      <c r="A45" s="35" t="s">
        <v>45</v>
      </c>
      <c r="B45" s="33"/>
      <c r="C45" s="33"/>
    </row>
    <row r="46">
      <c r="A46" s="35" t="s">
        <v>40</v>
      </c>
      <c r="B46" s="33"/>
      <c r="C46" s="33"/>
    </row>
    <row r="47">
      <c r="A47" s="35" t="s">
        <v>46</v>
      </c>
      <c r="B47" s="33"/>
      <c r="C47" s="33"/>
    </row>
    <row r="48">
      <c r="A48" s="35" t="s">
        <v>12</v>
      </c>
      <c r="B48" s="36"/>
    </row>
    <row r="49">
      <c r="A49" s="35" t="s">
        <v>47</v>
      </c>
      <c r="B49" s="36"/>
    </row>
    <row r="50">
      <c r="A50" s="35" t="s">
        <v>14</v>
      </c>
      <c r="B50" s="36"/>
    </row>
    <row r="51">
      <c r="A51" s="35" t="s">
        <v>15</v>
      </c>
      <c r="B51" s="36"/>
    </row>
    <row r="52">
      <c r="A52" s="35" t="s">
        <v>16</v>
      </c>
      <c r="B52" s="36"/>
    </row>
    <row r="53">
      <c r="A53" s="35" t="s">
        <v>17</v>
      </c>
      <c r="B53" s="36"/>
    </row>
    <row r="54">
      <c r="A54" s="4"/>
      <c r="B54" s="36"/>
    </row>
    <row r="55">
      <c r="A55" s="18" t="s">
        <v>46</v>
      </c>
    </row>
    <row r="56">
      <c r="A56" s="39" t="s">
        <v>20</v>
      </c>
    </row>
    <row r="57">
      <c r="A57" s="73" t="s">
        <v>32</v>
      </c>
    </row>
    <row r="58">
      <c r="A58" s="78" t="s">
        <v>39</v>
      </c>
    </row>
    <row r="59">
      <c r="A59" s="79" t="s">
        <v>40</v>
      </c>
    </row>
    <row r="60">
      <c r="A60" s="88" t="s">
        <v>45</v>
      </c>
    </row>
  </sheetData>
  <mergeCells count="2">
    <mergeCell ref="A1:Y1"/>
    <mergeCell ref="A42:B42"/>
  </mergeCells>
  <drawing r:id="rId1"/>
</worksheet>
</file>